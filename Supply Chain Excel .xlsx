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iltz\Documents\Audit Folder\Training Materials\Compliance Auditor Training\datasets\"/>
    </mc:Choice>
  </mc:AlternateContent>
  <xr:revisionPtr revIDLastSave="0" documentId="13_ncr:1_{70DB1EAF-4D4F-4529-9AB7-33D6C3D55508}" xr6:coauthVersionLast="47" xr6:coauthVersionMax="47" xr10:uidLastSave="{00000000-0000-0000-0000-000000000000}"/>
  <bookViews>
    <workbookView xWindow="-108" yWindow="-108" windowWidth="23256" windowHeight="12456" activeTab="1" xr2:uid="{533EA0E7-936F-4968-931B-18B9ACEAFCDC}"/>
  </bookViews>
  <sheets>
    <sheet name="Raw Data" sheetId="12" r:id="rId1"/>
    <sheet name="Cleaned Data" sheetId="13" r:id="rId2"/>
    <sheet name="Pivot Table 1" sheetId="14" r:id="rId3"/>
    <sheet name="Pivot Table 2" sheetId="15" r:id="rId4"/>
    <sheet name="Pivot Table 3" sheetId="16" r:id="rId5"/>
    <sheet name="Pivot Table 4" sheetId="17" r:id="rId6"/>
    <sheet name="Dashboard" sheetId="11" r:id="rId7"/>
  </sheets>
  <calcPr calcId="191029"/>
  <pivotCaches>
    <pivotCache cacheId="30" r:id="rId8"/>
    <pivotCache cacheId="34" r:id="rId9"/>
    <pivotCache cacheId="38" r:id="rId10"/>
    <pivotCache cacheId="4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FC98E1-7CC4-4445-B560-7691EA893A38}" keepAlive="1" name="Query - appt no show rates p2" description="Connection to the 'appt no show rates p2' query in the workbook." type="5" refreshedVersion="0" background="1">
    <dbPr connection="Provider=Microsoft.Mashup.OleDb.1;Data Source=$Workbook$;Location=&quot;appt no show rates p2&quot;;Extended Properties=&quot;&quot;" command="SELECT * FROM [appt no show rates p2]"/>
  </connection>
  <connection id="2" xr16:uid="{1048444A-1E35-4CD4-A85D-9140B1403B9C}" keepAlive="1" name="Query - lab turnaround by test type p2" description="Connection to the 'lab turnaround by test type p2' query in the workbook." type="5" refreshedVersion="8" background="1" saveData="1">
    <dbPr connection="Provider=Microsoft.Mashup.OleDb.1;Data Source=$Workbook$;Location=&quot;lab turnaround by test type p2&quot;;Extended Properties=&quot;&quot;" command="SELECT * FROM [lab turnaround by test type p2]"/>
  </connection>
  <connection id="3" xr16:uid="{887295C0-5F27-4296-9070-13DE0889F08E}" keepAlive="1" name="Query - monthly supply usage trend p2" description="Connection to the 'monthly supply usage trend p2' query in the workbook." type="5" refreshedVersion="8" background="1" saveData="1">
    <dbPr connection="Provider=Microsoft.Mashup.OleDb.1;Data Source=$Workbook$;Location=&quot;monthly supply usage trend p2&quot;;Extended Properties=&quot;&quot;" command="SELECT * FROM [monthly supply usage trend p2]"/>
  </connection>
  <connection id="4" xr16:uid="{DA60BB2F-90F8-490E-A2AB-E1B5DE630A05}" keepAlive="1" name="Query - total supply cost by dept p2" description="Connection to the 'total supply cost by dept p2' query in the workbook." type="5" refreshedVersion="8" background="1" saveData="1">
    <dbPr connection="Provider=Microsoft.Mashup.OleDb.1;Data Source=$Workbook$;Location=&quot;total supply cost by dept p2&quot;;Extended Properties=&quot;&quot;" command="SELECT * FROM [total supply cost by dept p2]"/>
  </connection>
  <connection id="5" xr16:uid="{9AF19EB1-93F7-460D-BE30-67EA1D100517}" keepAlive="1" name="Query - total supply usage by dept p2" description="Connection to the 'total supply usage by dept p2' query in the workbook." type="5" refreshedVersion="8" background="1" saveData="1">
    <dbPr connection="Provider=Microsoft.Mashup.OleDb.1;Data Source=$Workbook$;Location=&quot;total supply usage by dept p2&quot;;Extended Properties=&quot;&quot;" command="SELECT * FROM [total supply usage by dept p2]"/>
  </connection>
</connections>
</file>

<file path=xl/sharedStrings.xml><?xml version="1.0" encoding="utf-8"?>
<sst xmlns="http://schemas.openxmlformats.org/spreadsheetml/2006/main" count="36" uniqueCount="24">
  <si>
    <t>Biopsy</t>
  </si>
  <si>
    <t>Blood Culture</t>
  </si>
  <si>
    <t>Lipid Panel</t>
  </si>
  <si>
    <t>CBC</t>
  </si>
  <si>
    <t>Oncology</t>
  </si>
  <si>
    <t>ICU</t>
  </si>
  <si>
    <t>Emergency</t>
  </si>
  <si>
    <t>Orthopedics</t>
  </si>
  <si>
    <t>Cardiology</t>
  </si>
  <si>
    <t>Row Labels</t>
  </si>
  <si>
    <t>Grand Total</t>
  </si>
  <si>
    <t>Sum of Total_Quantity_Used</t>
  </si>
  <si>
    <t>Sum of Total Cost</t>
  </si>
  <si>
    <t>Sum of Avg Days</t>
  </si>
  <si>
    <t>Pediatrics</t>
  </si>
  <si>
    <t>Sum of No-Show %</t>
  </si>
  <si>
    <t>Supply Insight</t>
  </si>
  <si>
    <t>Emergency and ICU departments account for the highest supply usage, indicating they are the primary drivers of operational cost.</t>
  </si>
  <si>
    <t>Cost Insight</t>
  </si>
  <si>
    <t>Supply costs are concentrated in a few departments, suggesting opportunities for targeted cost optimization.</t>
  </si>
  <si>
    <t>No-Show Insight</t>
  </si>
  <si>
    <t>Pediatrics has the highest no-show rate, leading to potential inefficiencies and lost operational capacity.</t>
  </si>
  <si>
    <t>Lab Insight</t>
  </si>
  <si>
    <t>Certain tests such as biopsies have significantly longer turnaround times, indicating potential workflow bottlenecks.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</si>
</sst>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6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Supply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1'!$A$4:$A$9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ICU</c:v>
                </c:pt>
                <c:pt idx="3">
                  <c:v>Oncology</c:v>
                </c:pt>
                <c:pt idx="4">
                  <c:v>Orthopedics</c:v>
                </c:pt>
              </c:strCache>
            </c:strRef>
          </c:cat>
          <c:val>
            <c:numRef>
              <c:f>'Pivot Table 1'!$B$4:$B$9</c:f>
              <c:numCache>
                <c:formatCode>General</c:formatCode>
                <c:ptCount val="5"/>
                <c:pt idx="0">
                  <c:v>700</c:v>
                </c:pt>
                <c:pt idx="1">
                  <c:v>1200</c:v>
                </c:pt>
                <c:pt idx="2">
                  <c:v>950</c:v>
                </c:pt>
                <c:pt idx="3">
                  <c:v>400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6-447F-A07E-669027D8CA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0974479"/>
        <c:axId val="800975439"/>
      </c:barChart>
      <c:catAx>
        <c:axId val="80097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75439"/>
        <c:crosses val="autoZero"/>
        <c:auto val="1"/>
        <c:lblAlgn val="ctr"/>
        <c:lblOffset val="100"/>
        <c:noMultiLvlLbl val="0"/>
      </c:catAx>
      <c:valAx>
        <c:axId val="80097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7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2!PivotTable7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Supply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2'!$A$4:$A$8</c:f>
              <c:strCache>
                <c:ptCount val="4"/>
                <c:pt idx="0">
                  <c:v>Cardiology</c:v>
                </c:pt>
                <c:pt idx="1">
                  <c:v>Emergency</c:v>
                </c:pt>
                <c:pt idx="2">
                  <c:v>ICU</c:v>
                </c:pt>
                <c:pt idx="3">
                  <c:v>Oncology</c:v>
                </c:pt>
              </c:strCache>
            </c:strRef>
          </c:cat>
          <c:val>
            <c:numRef>
              <c:f>'Pivot Table 2'!$B$4:$B$8</c:f>
              <c:numCache>
                <c:formatCode>"$"#,##0_);[Red]\("$"#,##0\)</c:formatCode>
                <c:ptCount val="4"/>
                <c:pt idx="0">
                  <c:v>45000</c:v>
                </c:pt>
                <c:pt idx="1">
                  <c:v>70000</c:v>
                </c:pt>
                <c:pt idx="2">
                  <c:v>85000</c:v>
                </c:pt>
                <c:pt idx="3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E-48B5-B0D0-81CF839FC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601312"/>
        <c:axId val="683599392"/>
      </c:lineChart>
      <c:catAx>
        <c:axId val="6836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99392"/>
        <c:crosses val="autoZero"/>
        <c:auto val="1"/>
        <c:lblAlgn val="ctr"/>
        <c:lblOffset val="100"/>
        <c:noMultiLvlLbl val="0"/>
      </c:catAx>
      <c:valAx>
        <c:axId val="6835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3!PivotTable8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</a:t>
            </a:r>
            <a:r>
              <a:rPr lang="en-US" baseline="0"/>
              <a:t> Turnaround By Test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3'!$A$4:$A$8</c:f>
              <c:strCache>
                <c:ptCount val="4"/>
                <c:pt idx="0">
                  <c:v>Biopsy</c:v>
                </c:pt>
                <c:pt idx="1">
                  <c:v>Blood Culture</c:v>
                </c:pt>
                <c:pt idx="2">
                  <c:v>CBC</c:v>
                </c:pt>
                <c:pt idx="3">
                  <c:v>Lipid Panel</c:v>
                </c:pt>
              </c:strCache>
            </c:strRef>
          </c:cat>
          <c:val>
            <c:numRef>
              <c:f>'Pivot Table 3'!$B$4:$B$8</c:f>
              <c:numCache>
                <c:formatCode>General</c:formatCode>
                <c:ptCount val="4"/>
                <c:pt idx="0">
                  <c:v>5.2</c:v>
                </c:pt>
                <c:pt idx="1">
                  <c:v>4.5</c:v>
                </c:pt>
                <c:pt idx="2">
                  <c:v>1.5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0-46DB-A378-7CDE1BC7A5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8426687"/>
        <c:axId val="918427647"/>
      </c:barChart>
      <c:catAx>
        <c:axId val="91842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27647"/>
        <c:crosses val="autoZero"/>
        <c:auto val="1"/>
        <c:lblAlgn val="ctr"/>
        <c:lblOffset val="100"/>
        <c:noMultiLvlLbl val="0"/>
      </c:catAx>
      <c:valAx>
        <c:axId val="91842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2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4!PivotTable9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4'!$A$4:$A$7</c:f>
              <c:strCache>
                <c:ptCount val="3"/>
                <c:pt idx="0">
                  <c:v>Cardiology</c:v>
                </c:pt>
                <c:pt idx="1">
                  <c:v>Emergency</c:v>
                </c:pt>
                <c:pt idx="2">
                  <c:v>Pediatrics</c:v>
                </c:pt>
              </c:strCache>
            </c:strRef>
          </c:cat>
          <c:val>
            <c:numRef>
              <c:f>'Pivot Table 4'!$B$4:$B$7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D-4582-99D8-428767164E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8372623"/>
        <c:axId val="1158373103"/>
      </c:barChart>
      <c:catAx>
        <c:axId val="11583726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73103"/>
        <c:crosses val="autoZero"/>
        <c:auto val="1"/>
        <c:lblAlgn val="ctr"/>
        <c:lblOffset val="100"/>
        <c:noMultiLvlLbl val="0"/>
      </c:catAx>
      <c:valAx>
        <c:axId val="115837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7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1!PivotTable6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Supply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1'!$A$4:$A$9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ICU</c:v>
                </c:pt>
                <c:pt idx="3">
                  <c:v>Oncology</c:v>
                </c:pt>
                <c:pt idx="4">
                  <c:v>Orthopedics</c:v>
                </c:pt>
              </c:strCache>
            </c:strRef>
          </c:cat>
          <c:val>
            <c:numRef>
              <c:f>'Pivot Table 1'!$B$4:$B$9</c:f>
              <c:numCache>
                <c:formatCode>General</c:formatCode>
                <c:ptCount val="5"/>
                <c:pt idx="0">
                  <c:v>700</c:v>
                </c:pt>
                <c:pt idx="1">
                  <c:v>1200</c:v>
                </c:pt>
                <c:pt idx="2">
                  <c:v>950</c:v>
                </c:pt>
                <c:pt idx="3">
                  <c:v>400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1-414C-B79D-4B2A4298A8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0974479"/>
        <c:axId val="800975439"/>
      </c:barChart>
      <c:catAx>
        <c:axId val="80097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75439"/>
        <c:crosses val="autoZero"/>
        <c:auto val="1"/>
        <c:lblAlgn val="ctr"/>
        <c:lblOffset val="100"/>
        <c:noMultiLvlLbl val="0"/>
      </c:catAx>
      <c:valAx>
        <c:axId val="80097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7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2!PivotTable7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Supply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2'!$A$4:$A$8</c:f>
              <c:strCache>
                <c:ptCount val="4"/>
                <c:pt idx="0">
                  <c:v>Cardiology</c:v>
                </c:pt>
                <c:pt idx="1">
                  <c:v>Emergency</c:v>
                </c:pt>
                <c:pt idx="2">
                  <c:v>ICU</c:v>
                </c:pt>
                <c:pt idx="3">
                  <c:v>Oncology</c:v>
                </c:pt>
              </c:strCache>
            </c:strRef>
          </c:cat>
          <c:val>
            <c:numRef>
              <c:f>'Pivot Table 2'!$B$4:$B$8</c:f>
              <c:numCache>
                <c:formatCode>"$"#,##0_);[Red]\("$"#,##0\)</c:formatCode>
                <c:ptCount val="4"/>
                <c:pt idx="0">
                  <c:v>45000</c:v>
                </c:pt>
                <c:pt idx="1">
                  <c:v>70000</c:v>
                </c:pt>
                <c:pt idx="2">
                  <c:v>85000</c:v>
                </c:pt>
                <c:pt idx="3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4-48F6-A958-86F35717D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601312"/>
        <c:axId val="683599392"/>
      </c:lineChart>
      <c:catAx>
        <c:axId val="6836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99392"/>
        <c:crosses val="autoZero"/>
        <c:auto val="1"/>
        <c:lblAlgn val="ctr"/>
        <c:lblOffset val="100"/>
        <c:noMultiLvlLbl val="0"/>
      </c:catAx>
      <c:valAx>
        <c:axId val="6835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3!PivotTable8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</a:t>
            </a:r>
            <a:r>
              <a:rPr lang="en-US" baseline="0"/>
              <a:t> Turnaround By Test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3'!$A$4:$A$8</c:f>
              <c:strCache>
                <c:ptCount val="4"/>
                <c:pt idx="0">
                  <c:v>Biopsy</c:v>
                </c:pt>
                <c:pt idx="1">
                  <c:v>Blood Culture</c:v>
                </c:pt>
                <c:pt idx="2">
                  <c:v>CBC</c:v>
                </c:pt>
                <c:pt idx="3">
                  <c:v>Lipid Panel</c:v>
                </c:pt>
              </c:strCache>
            </c:strRef>
          </c:cat>
          <c:val>
            <c:numRef>
              <c:f>'Pivot Table 3'!$B$4:$B$8</c:f>
              <c:numCache>
                <c:formatCode>General</c:formatCode>
                <c:ptCount val="4"/>
                <c:pt idx="0">
                  <c:v>5.2</c:v>
                </c:pt>
                <c:pt idx="1">
                  <c:v>4.5</c:v>
                </c:pt>
                <c:pt idx="2">
                  <c:v>1.5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C-458C-962F-6127C55438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8426687"/>
        <c:axId val="918427647"/>
      </c:barChart>
      <c:catAx>
        <c:axId val="91842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27647"/>
        <c:crosses val="autoZero"/>
        <c:auto val="1"/>
        <c:lblAlgn val="ctr"/>
        <c:lblOffset val="100"/>
        <c:noMultiLvlLbl val="0"/>
      </c:catAx>
      <c:valAx>
        <c:axId val="91842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2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Excel .xlsx]Pivot Table 4!PivotTable9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Show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4'!$A$4:$A$7</c:f>
              <c:strCache>
                <c:ptCount val="3"/>
                <c:pt idx="0">
                  <c:v>Cardiology</c:v>
                </c:pt>
                <c:pt idx="1">
                  <c:v>Emergency</c:v>
                </c:pt>
                <c:pt idx="2">
                  <c:v>Pediatrics</c:v>
                </c:pt>
              </c:strCache>
            </c:strRef>
          </c:cat>
          <c:val>
            <c:numRef>
              <c:f>'Pivot Table 4'!$B$4:$B$7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3-44E3-9AAF-C3049D78D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8372623"/>
        <c:axId val="1158373103"/>
      </c:barChart>
      <c:catAx>
        <c:axId val="11583726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73103"/>
        <c:crosses val="autoZero"/>
        <c:auto val="1"/>
        <c:lblAlgn val="ctr"/>
        <c:lblOffset val="100"/>
        <c:noMultiLvlLbl val="0"/>
      </c:catAx>
      <c:valAx>
        <c:axId val="115837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7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41910</xdr:rowOff>
    </xdr:from>
    <xdr:to>
      <xdr:col>10</xdr:col>
      <xdr:colOff>304800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BA03E-0C05-F00D-4997-0B49250D6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6</xdr:row>
      <xdr:rowOff>41910</xdr:rowOff>
    </xdr:from>
    <xdr:to>
      <xdr:col>11</xdr:col>
      <xdr:colOff>121920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09FEE-F4CB-90EF-877C-2E68A6A02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41910</xdr:rowOff>
    </xdr:from>
    <xdr:to>
      <xdr:col>11</xdr:col>
      <xdr:colOff>190500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46FE7-6660-DF0D-BC58-28DC3962C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6</xdr:row>
      <xdr:rowOff>41910</xdr:rowOff>
    </xdr:from>
    <xdr:to>
      <xdr:col>11</xdr:col>
      <xdr:colOff>45720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72FE6-98BA-8A30-1FFF-C6CF160D1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48D63-0A1C-487A-BBBB-B20CEA965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811261-18BA-4E6F-8C67-888792347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CF1E22-2942-4684-B892-70D37CFFD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33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BC3F310-A517-4C42-BE78-874F64116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6691122685" createdVersion="8" refreshedVersion="8" minRefreshableVersion="3" recordCount="5" xr:uid="{7B116FF4-098E-41BC-968E-6850D593FF91}">
  <cacheSource type="worksheet">
    <worksheetSource name="total_supply_usage_by_dept_p2"/>
  </cacheSource>
  <cacheFields count="2">
    <cacheField name="Department" numFmtId="0">
      <sharedItems count="5">
        <s v="Emergency"/>
        <s v="ICU"/>
        <s v="Cardiology"/>
        <s v="Orthopedics"/>
        <s v="Oncology"/>
      </sharedItems>
    </cacheField>
    <cacheField name="Total_Quantity_Used" numFmtId="0">
      <sharedItems containsSemiMixedTypes="0" containsString="0" containsNumber="1" containsInteger="1" minValue="40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68344444442" createdVersion="8" refreshedVersion="8" minRefreshableVersion="3" recordCount="4" xr:uid="{B6937537-E32C-4250-AF04-E572DD613F59}">
  <cacheSource type="worksheet">
    <worksheetSource name="total_supply_cost_by_dept_p2"/>
  </cacheSource>
  <cacheFields count="2">
    <cacheField name="Department" numFmtId="0">
      <sharedItems count="4">
        <s v="ICU"/>
        <s v="Emergency"/>
        <s v="Oncology"/>
        <s v="Cardiology"/>
      </sharedItems>
    </cacheField>
    <cacheField name="Total Cost" numFmtId="6">
      <sharedItems containsSemiMixedTypes="0" containsString="0" containsNumber="1" containsInteger="1" minValue="45000" maxValue="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69447337961" createdVersion="8" refreshedVersion="8" minRefreshableVersion="3" recordCount="4" xr:uid="{106E9F9D-4846-4A28-99C6-B7499B9EB0DD}">
  <cacheSource type="worksheet">
    <worksheetSource name="lab_turnaround_by_test_type_p2"/>
  </cacheSource>
  <cacheFields count="2">
    <cacheField name="Test Type" numFmtId="0">
      <sharedItems count="4">
        <s v="Biopsy"/>
        <s v="Blood Culture"/>
        <s v="Lipid Panel"/>
        <s v="CBC"/>
      </sharedItems>
    </cacheField>
    <cacheField name="Avg Days" numFmtId="0">
      <sharedItems containsSemiMixedTypes="0" containsString="0" containsNumber="1" minValue="1.5" maxValue="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05.670546412039" createdVersion="8" refreshedVersion="8" minRefreshableVersion="3" recordCount="3" xr:uid="{572D4444-DDC4-46D3-9277-302FDE485138}">
  <cacheSource type="worksheet">
    <worksheetSource name="monthly_supply_usage_trend_p2"/>
  </cacheSource>
  <cacheFields count="2">
    <cacheField name="Department" numFmtId="14">
      <sharedItems count="3">
        <s v="Pediatrics"/>
        <s v="Emergency"/>
        <s v="Cardiology"/>
      </sharedItems>
    </cacheField>
    <cacheField name="No-Show %" numFmtId="9">
      <sharedItems containsSemiMixedTypes="0" containsString="0" containsNumber="1" minValue="0.1" maxValue="0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00"/>
  </r>
  <r>
    <x v="1"/>
    <n v="950"/>
  </r>
  <r>
    <x v="2"/>
    <n v="700"/>
  </r>
  <r>
    <x v="3"/>
    <n v="600"/>
  </r>
  <r>
    <x v="4"/>
    <n v="4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5000"/>
  </r>
  <r>
    <x v="1"/>
    <n v="70000"/>
  </r>
  <r>
    <x v="2"/>
    <n v="60000"/>
  </r>
  <r>
    <x v="3"/>
    <n v="4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.2"/>
  </r>
  <r>
    <x v="1"/>
    <n v="4.5"/>
  </r>
  <r>
    <x v="2"/>
    <n v="2"/>
  </r>
  <r>
    <x v="3"/>
    <n v="1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0.18"/>
  </r>
  <r>
    <x v="1"/>
    <n v="0.15"/>
  </r>
  <r>
    <x v="2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34665-CE8F-44C2-975B-AC7AC0655658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">
    <pivotField axis="axisRow" showAll="0">
      <items count="6">
        <item x="2"/>
        <item x="0"/>
        <item x="1"/>
        <item x="4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Quantity_Used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98CCC-A0B2-40C9-88B9-4D11BBEE46CC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">
    <pivotField axis="axisRow" showAll="0">
      <items count="5">
        <item x="3"/>
        <item x="1"/>
        <item x="0"/>
        <item x="2"/>
        <item t="default"/>
      </items>
    </pivotField>
    <pivotField dataField="1" numFmtId="6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st" fld="1" baseField="0" baseItem="0" numFmtId="6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03813-A065-407A-9A1A-FC9CE9E78073}" name="PivotTable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">
    <pivotField axis="axisRow" showAll="0">
      <items count="5">
        <item x="0"/>
        <item x="1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g Days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A2E6D-C613-491F-8F3A-D5DDE31F8FF9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numFmtId="9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o-Show %" fld="1" baseField="0" baseItem="0" numFmtId="9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1C0E-8FD2-4E6E-8C75-3D4324C00956}">
  <dimension ref="A1"/>
  <sheetViews>
    <sheetView workbookViewId="0">
      <selection activeCell="H20" sqref="H2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BD8D-DA11-4AF9-A587-C5C10330B0C6}">
  <dimension ref="A1"/>
  <sheetViews>
    <sheetView tabSelected="1" workbookViewId="0">
      <selection activeCell="E24" sqref="E2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7455-FB66-4F6E-83CA-ADAA00CF1006}">
  <dimension ref="A3:B9"/>
  <sheetViews>
    <sheetView workbookViewId="0">
      <selection activeCell="B23" sqref="B23"/>
    </sheetView>
  </sheetViews>
  <sheetFormatPr defaultRowHeight="14.4" x14ac:dyDescent="0.3"/>
  <cols>
    <col min="1" max="1" width="12.44140625" bestFit="1" customWidth="1"/>
    <col min="2" max="2" width="24.33203125" bestFit="1" customWidth="1"/>
  </cols>
  <sheetData>
    <row r="3" spans="1:2" x14ac:dyDescent="0.3">
      <c r="A3" s="1" t="s">
        <v>9</v>
      </c>
      <c r="B3" t="s">
        <v>11</v>
      </c>
    </row>
    <row r="4" spans="1:2" x14ac:dyDescent="0.3">
      <c r="A4" s="2" t="s">
        <v>8</v>
      </c>
      <c r="B4" s="3">
        <v>700</v>
      </c>
    </row>
    <row r="5" spans="1:2" x14ac:dyDescent="0.3">
      <c r="A5" s="2" t="s">
        <v>6</v>
      </c>
      <c r="B5" s="3">
        <v>1200</v>
      </c>
    </row>
    <row r="6" spans="1:2" x14ac:dyDescent="0.3">
      <c r="A6" s="2" t="s">
        <v>5</v>
      </c>
      <c r="B6" s="3">
        <v>950</v>
      </c>
    </row>
    <row r="7" spans="1:2" x14ac:dyDescent="0.3">
      <c r="A7" s="2" t="s">
        <v>4</v>
      </c>
      <c r="B7" s="3">
        <v>400</v>
      </c>
    </row>
    <row r="8" spans="1:2" x14ac:dyDescent="0.3">
      <c r="A8" s="2" t="s">
        <v>7</v>
      </c>
      <c r="B8" s="3">
        <v>600</v>
      </c>
    </row>
    <row r="9" spans="1:2" x14ac:dyDescent="0.3">
      <c r="A9" s="2" t="s">
        <v>10</v>
      </c>
      <c r="B9" s="3">
        <v>3850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2CB5-670B-4930-A4DD-920FBCB56462}">
  <dimension ref="A3:B8"/>
  <sheetViews>
    <sheetView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5.33203125" bestFit="1" customWidth="1"/>
  </cols>
  <sheetData>
    <row r="3" spans="1:2" x14ac:dyDescent="0.3">
      <c r="A3" s="1" t="s">
        <v>9</v>
      </c>
      <c r="B3" t="s">
        <v>12</v>
      </c>
    </row>
    <row r="4" spans="1:2" x14ac:dyDescent="0.3">
      <c r="A4" s="2" t="s">
        <v>8</v>
      </c>
      <c r="B4" s="4">
        <v>45000</v>
      </c>
    </row>
    <row r="5" spans="1:2" x14ac:dyDescent="0.3">
      <c r="A5" s="2" t="s">
        <v>6</v>
      </c>
      <c r="B5" s="4">
        <v>70000</v>
      </c>
    </row>
    <row r="6" spans="1:2" x14ac:dyDescent="0.3">
      <c r="A6" s="2" t="s">
        <v>5</v>
      </c>
      <c r="B6" s="4">
        <v>85000</v>
      </c>
    </row>
    <row r="7" spans="1:2" x14ac:dyDescent="0.3">
      <c r="A7" s="2" t="s">
        <v>4</v>
      </c>
      <c r="B7" s="4">
        <v>60000</v>
      </c>
    </row>
    <row r="8" spans="1:2" x14ac:dyDescent="0.3">
      <c r="A8" s="2" t="s">
        <v>10</v>
      </c>
      <c r="B8" s="4">
        <v>260000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CF43-81FB-49A4-BB48-904AB13440F5}">
  <dimension ref="A3:B8"/>
  <sheetViews>
    <sheetView workbookViewId="0">
      <selection activeCell="B20" sqref="B20"/>
    </sheetView>
  </sheetViews>
  <sheetFormatPr defaultRowHeight="14.4" x14ac:dyDescent="0.3"/>
  <cols>
    <col min="1" max="1" width="12.44140625" bestFit="1" customWidth="1"/>
    <col min="2" max="2" width="14.33203125" bestFit="1" customWidth="1"/>
  </cols>
  <sheetData>
    <row r="3" spans="1:2" x14ac:dyDescent="0.3">
      <c r="A3" s="1" t="s">
        <v>9</v>
      </c>
      <c r="B3" t="s">
        <v>13</v>
      </c>
    </row>
    <row r="4" spans="1:2" x14ac:dyDescent="0.3">
      <c r="A4" s="2" t="s">
        <v>0</v>
      </c>
      <c r="B4" s="3">
        <v>5.2</v>
      </c>
    </row>
    <row r="5" spans="1:2" x14ac:dyDescent="0.3">
      <c r="A5" s="2" t="s">
        <v>1</v>
      </c>
      <c r="B5" s="3">
        <v>4.5</v>
      </c>
    </row>
    <row r="6" spans="1:2" x14ac:dyDescent="0.3">
      <c r="A6" s="2" t="s">
        <v>3</v>
      </c>
      <c r="B6" s="3">
        <v>1.5</v>
      </c>
    </row>
    <row r="7" spans="1:2" x14ac:dyDescent="0.3">
      <c r="A7" s="2" t="s">
        <v>2</v>
      </c>
      <c r="B7" s="3">
        <v>2</v>
      </c>
    </row>
    <row r="8" spans="1:2" x14ac:dyDescent="0.3">
      <c r="A8" s="2" t="s">
        <v>10</v>
      </c>
      <c r="B8" s="3">
        <v>13.2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D902-B568-4D48-86A1-3D900D9B05A3}">
  <dimension ref="A3:B7"/>
  <sheetViews>
    <sheetView workbookViewId="0">
      <selection activeCell="O22" sqref="O22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3" spans="1:2" x14ac:dyDescent="0.3">
      <c r="A3" s="1" t="s">
        <v>9</v>
      </c>
      <c r="B3" t="s">
        <v>15</v>
      </c>
    </row>
    <row r="4" spans="1:2" x14ac:dyDescent="0.3">
      <c r="A4" s="2" t="s">
        <v>8</v>
      </c>
      <c r="B4" s="5">
        <v>0.1</v>
      </c>
    </row>
    <row r="5" spans="1:2" x14ac:dyDescent="0.3">
      <c r="A5" s="2" t="s">
        <v>6</v>
      </c>
      <c r="B5" s="5">
        <v>0.15</v>
      </c>
    </row>
    <row r="6" spans="1:2" x14ac:dyDescent="0.3">
      <c r="A6" s="2" t="s">
        <v>14</v>
      </c>
      <c r="B6" s="5">
        <v>0.18</v>
      </c>
    </row>
    <row r="7" spans="1:2" x14ac:dyDescent="0.3">
      <c r="A7" s="2" t="s">
        <v>10</v>
      </c>
      <c r="B7" s="5">
        <v>0.43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01A2-3288-47DD-9D6B-05422975CAC7}">
  <dimension ref="Q3:Q26"/>
  <sheetViews>
    <sheetView showGridLines="0" topLeftCell="A5" workbookViewId="0">
      <selection activeCell="Q17" sqref="Q17"/>
    </sheetView>
  </sheetViews>
  <sheetFormatPr defaultRowHeight="14.4" x14ac:dyDescent="0.3"/>
  <cols>
    <col min="17" max="17" width="54.77734375" customWidth="1"/>
  </cols>
  <sheetData>
    <row r="3" spans="17:17" x14ac:dyDescent="0.3">
      <c r="Q3" s="7" t="s">
        <v>16</v>
      </c>
    </row>
    <row r="4" spans="17:17" ht="29.4" customHeight="1" x14ac:dyDescent="0.3">
      <c r="Q4" s="6" t="s">
        <v>17</v>
      </c>
    </row>
    <row r="8" spans="17:17" x14ac:dyDescent="0.3">
      <c r="Q8" s="7" t="s">
        <v>18</v>
      </c>
    </row>
    <row r="9" spans="17:17" ht="28.8" x14ac:dyDescent="0.3">
      <c r="Q9" s="6" t="s">
        <v>19</v>
      </c>
    </row>
    <row r="20" spans="17:17" x14ac:dyDescent="0.3">
      <c r="Q20" s="7" t="s">
        <v>20</v>
      </c>
    </row>
    <row r="21" spans="17:17" ht="28.8" x14ac:dyDescent="0.3">
      <c r="Q21" s="6" t="s">
        <v>21</v>
      </c>
    </row>
    <row r="25" spans="17:17" x14ac:dyDescent="0.3">
      <c r="Q25" s="7" t="s">
        <v>22</v>
      </c>
    </row>
    <row r="26" spans="17:17" ht="28.8" x14ac:dyDescent="0.3">
      <c r="Q26" s="6" t="s"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3378AB-BF56-4086-ABE8-432852CB43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Data</vt:lpstr>
      <vt:lpstr>Pivot Table 1</vt:lpstr>
      <vt:lpstr>Pivot Table 2</vt:lpstr>
      <vt:lpstr>Pivot Table 3</vt:lpstr>
      <vt:lpstr>Pivot Table 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Wiltz</dc:creator>
  <cp:lastModifiedBy>Felicia Wiltz</cp:lastModifiedBy>
  <dcterms:created xsi:type="dcterms:W3CDTF">2026-03-23T19:16:42Z</dcterms:created>
  <dcterms:modified xsi:type="dcterms:W3CDTF">2026-03-24T21:10:11Z</dcterms:modified>
</cp:coreProperties>
</file>