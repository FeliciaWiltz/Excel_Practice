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wiltz\Documents\Audit Folder\Training Materials\Compliance Auditor Training\datasets\"/>
    </mc:Choice>
  </mc:AlternateContent>
  <xr:revisionPtr revIDLastSave="0" documentId="8_{FDE35311-E7FD-4203-A284-D2595F7EDA8C}" xr6:coauthVersionLast="47" xr6:coauthVersionMax="47" xr10:uidLastSave="{00000000-0000-0000-0000-000000000000}"/>
  <bookViews>
    <workbookView xWindow="-108" yWindow="-108" windowWidth="23256" windowHeight="12456" activeTab="2" xr2:uid="{66CF0BC7-5BB6-4E17-A295-57E522DBC027}"/>
  </bookViews>
  <sheets>
    <sheet name="bi_raw" sheetId="1" r:id="rId1"/>
    <sheet name="bi_working" sheetId="2" r:id="rId2"/>
    <sheet name="Notes " sheetId="3" r:id="rId3"/>
  </sheets>
  <calcPr calcId="0"/>
</workbook>
</file>

<file path=xl/calcChain.xml><?xml version="1.0" encoding="utf-8"?>
<calcChain xmlns="http://schemas.openxmlformats.org/spreadsheetml/2006/main">
  <c r="H2" i="2" l="1" a="1"/>
  <c r="H2" i="2" s="1"/>
  <c r="F2" i="2" a="1"/>
  <c r="F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2" i="2"/>
  <c r="P2" i="2" a="1"/>
  <c r="P2" i="2" s="1"/>
  <c r="M3" i="2" a="1"/>
  <c r="M3" i="2"/>
  <c r="M4" i="2" a="1"/>
  <c r="M4" i="2"/>
  <c r="M5" i="2" a="1"/>
  <c r="M5" i="2" s="1"/>
  <c r="M6" i="2" a="1"/>
  <c r="M6" i="2" s="1"/>
  <c r="M7" i="2" a="1"/>
  <c r="M7" i="2"/>
  <c r="M8" i="2" a="1"/>
  <c r="M8" i="2"/>
  <c r="M9" i="2" a="1"/>
  <c r="M9" i="2"/>
  <c r="M10" i="2" a="1"/>
  <c r="M10" i="2"/>
  <c r="M11" i="2" a="1"/>
  <c r="M11" i="2" s="1"/>
  <c r="M12" i="2" a="1"/>
  <c r="M12" i="2" s="1"/>
  <c r="M13" i="2" a="1"/>
  <c r="M13" i="2"/>
  <c r="M14" i="2" a="1"/>
  <c r="M14" i="2"/>
  <c r="M15" i="2" a="1"/>
  <c r="M15" i="2"/>
  <c r="M16" i="2" a="1"/>
  <c r="M16" i="2"/>
  <c r="M17" i="2" a="1"/>
  <c r="M17" i="2"/>
  <c r="M18" i="2" a="1"/>
  <c r="M18" i="2"/>
  <c r="M19" i="2" a="1"/>
  <c r="M19" i="2" s="1"/>
  <c r="M20" i="2" a="1"/>
  <c r="M20" i="2" s="1"/>
  <c r="M21" i="2" a="1"/>
  <c r="M21" i="2" s="1"/>
  <c r="M22" i="2" a="1"/>
  <c r="M22" i="2"/>
  <c r="M23" i="2" a="1"/>
  <c r="M23" i="2"/>
  <c r="M24" i="2" a="1"/>
  <c r="M24" i="2"/>
  <c r="M25" i="2" a="1"/>
  <c r="M25" i="2"/>
  <c r="M26" i="2" a="1"/>
  <c r="M26" i="2" s="1"/>
  <c r="M27" i="2" a="1"/>
  <c r="M27" i="2" s="1"/>
  <c r="M28" i="2" a="1"/>
  <c r="M28" i="2"/>
  <c r="M29" i="2" a="1"/>
  <c r="M29" i="2" s="1"/>
  <c r="M30" i="2" a="1"/>
  <c r="M30" i="2"/>
  <c r="M31" i="2" a="1"/>
  <c r="M31" i="2"/>
  <c r="M32" i="2" a="1"/>
  <c r="M32" i="2"/>
  <c r="M33" i="2" a="1"/>
  <c r="M33" i="2" s="1"/>
  <c r="M34" i="2" a="1"/>
  <c r="M34" i="2"/>
  <c r="M35" i="2" a="1"/>
  <c r="M35" i="2" s="1"/>
  <c r="M36" i="2" a="1"/>
  <c r="M36" i="2" s="1"/>
  <c r="M37" i="2" a="1"/>
  <c r="M37" i="2" s="1"/>
  <c r="M38" i="2" a="1"/>
  <c r="M38" i="2" s="1"/>
  <c r="M39" i="2" a="1"/>
  <c r="M39" i="2"/>
  <c r="M40" i="2" a="1"/>
  <c r="M40" i="2" s="1"/>
  <c r="M41" i="2" a="1"/>
  <c r="M41" i="2"/>
  <c r="M42" i="2" a="1"/>
  <c r="M42" i="2"/>
  <c r="M43" i="2" a="1"/>
  <c r="M43" i="2"/>
  <c r="M44" i="2" a="1"/>
  <c r="M44" i="2" s="1"/>
  <c r="M45" i="2" a="1"/>
  <c r="M45" i="2" s="1"/>
  <c r="M46" i="2" a="1"/>
  <c r="M46" i="2" s="1"/>
  <c r="M47" i="2" a="1"/>
  <c r="M47" i="2" s="1"/>
  <c r="M48" i="2" a="1"/>
  <c r="M48" i="2"/>
  <c r="M49" i="2" a="1"/>
  <c r="M49" i="2" s="1"/>
  <c r="M50" i="2" a="1"/>
  <c r="M50" i="2"/>
  <c r="M51" i="2" a="1"/>
  <c r="M51" i="2"/>
  <c r="M52" i="2" a="1"/>
  <c r="M52" i="2" s="1"/>
  <c r="M53" i="2" a="1"/>
  <c r="M53" i="2" s="1"/>
  <c r="M54" i="2" a="1"/>
  <c r="M54" i="2" s="1"/>
  <c r="M55" i="2" a="1"/>
  <c r="M55" i="2" s="1"/>
  <c r="M56" i="2" a="1"/>
  <c r="M56" i="2"/>
  <c r="M57" i="2" a="1"/>
  <c r="M57" i="2"/>
  <c r="M58" i="2" a="1"/>
  <c r="M58" i="2"/>
  <c r="M59" i="2" a="1"/>
  <c r="M59" i="2" s="1"/>
  <c r="M60" i="2" a="1"/>
  <c r="M60" i="2"/>
  <c r="M61" i="2" a="1"/>
  <c r="M61" i="2" s="1"/>
  <c r="M62" i="2" a="1"/>
  <c r="M62" i="2"/>
  <c r="M63" i="2" a="1"/>
  <c r="M63" i="2" s="1"/>
  <c r="M64" i="2" a="1"/>
  <c r="M64" i="2"/>
  <c r="M65" i="2" a="1"/>
  <c r="M65" i="2"/>
  <c r="M66" i="2" a="1"/>
  <c r="M66" i="2" s="1"/>
  <c r="M67" i="2" a="1"/>
  <c r="M67" i="2"/>
  <c r="M68" i="2" a="1"/>
  <c r="M68" i="2" s="1"/>
  <c r="M69" i="2" a="1"/>
  <c r="M69" i="2"/>
  <c r="M70" i="2" a="1"/>
  <c r="M70" i="2" s="1"/>
  <c r="M71" i="2" a="1"/>
  <c r="M71" i="2" s="1"/>
  <c r="M72" i="2" a="1"/>
  <c r="M72" i="2"/>
  <c r="M73" i="2" a="1"/>
  <c r="M73" i="2" s="1"/>
  <c r="M74" i="2" a="1"/>
  <c r="M74" i="2"/>
  <c r="M75" i="2" a="1"/>
  <c r="M75" i="2" s="1"/>
  <c r="M76" i="2" a="1"/>
  <c r="M76" i="2"/>
  <c r="M77" i="2" a="1"/>
  <c r="M77" i="2"/>
  <c r="M78" i="2" a="1"/>
  <c r="M78" i="2" s="1"/>
  <c r="M2" i="2" a="1"/>
  <c r="M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<sst xmlns="http://schemas.openxmlformats.org/spreadsheetml/2006/main" count="1036" uniqueCount="199">
  <si>
    <t>fNAME</t>
  </si>
  <si>
    <t>lNAME</t>
  </si>
  <si>
    <t>Age</t>
  </si>
  <si>
    <t>gender</t>
  </si>
  <si>
    <t>country</t>
  </si>
  <si>
    <t>residence</t>
  </si>
  <si>
    <t>entryEXAM</t>
  </si>
  <si>
    <t>prevEducation</t>
  </si>
  <si>
    <t>studyHOURS</t>
  </si>
  <si>
    <t>Python</t>
  </si>
  <si>
    <t>DB</t>
  </si>
  <si>
    <t>Christina</t>
  </si>
  <si>
    <t>Binger</t>
  </si>
  <si>
    <t>Female</t>
  </si>
  <si>
    <t>Norway</t>
  </si>
  <si>
    <t>Private</t>
  </si>
  <si>
    <t>Masters</t>
  </si>
  <si>
    <t>Alex</t>
  </si>
  <si>
    <t>Walekhwa</t>
  </si>
  <si>
    <t>M</t>
  </si>
  <si>
    <t>Kenya</t>
  </si>
  <si>
    <t>Diploma</t>
  </si>
  <si>
    <t>Philip</t>
  </si>
  <si>
    <t>Leo</t>
  </si>
  <si>
    <t>Male</t>
  </si>
  <si>
    <t>Uganda</t>
  </si>
  <si>
    <t>Sognsvann</t>
  </si>
  <si>
    <t>HighSchool</t>
  </si>
  <si>
    <t>Shoni</t>
  </si>
  <si>
    <t>Hlongwane</t>
  </si>
  <si>
    <t>F</t>
  </si>
  <si>
    <t>Rsa</t>
  </si>
  <si>
    <t>High School</t>
  </si>
  <si>
    <t>Maria</t>
  </si>
  <si>
    <t>Kedibone</t>
  </si>
  <si>
    <t>South Africa</t>
  </si>
  <si>
    <t>Hannah</t>
  </si>
  <si>
    <t>Hansen</t>
  </si>
  <si>
    <t>female</t>
  </si>
  <si>
    <t>Norge</t>
  </si>
  <si>
    <t>BI Residence</t>
  </si>
  <si>
    <t>Ole</t>
  </si>
  <si>
    <t>Johansen</t>
  </si>
  <si>
    <t>BI-Residence</t>
  </si>
  <si>
    <t>Bachelors</t>
  </si>
  <si>
    <t>Lars</t>
  </si>
  <si>
    <t>Olsen</t>
  </si>
  <si>
    <t>norway</t>
  </si>
  <si>
    <t>BIResidence</t>
  </si>
  <si>
    <t>Barrrchelors</t>
  </si>
  <si>
    <t>Bjørn</t>
  </si>
  <si>
    <t>Larsen</t>
  </si>
  <si>
    <t>Sofie</t>
  </si>
  <si>
    <t>Jensen</t>
  </si>
  <si>
    <t>Denmark</t>
  </si>
  <si>
    <t>BI_Residence</t>
  </si>
  <si>
    <t>Emma</t>
  </si>
  <si>
    <t>de Vries</t>
  </si>
  <si>
    <t>Netherlands</t>
  </si>
  <si>
    <t>Solveig</t>
  </si>
  <si>
    <t>Eliassen</t>
  </si>
  <si>
    <t>diploma</t>
  </si>
  <si>
    <t>Odd</t>
  </si>
  <si>
    <t>Knudsen</t>
  </si>
  <si>
    <t>male</t>
  </si>
  <si>
    <t>DIPLOMA</t>
  </si>
  <si>
    <t>Grethe</t>
  </si>
  <si>
    <t>Myklebust</t>
  </si>
  <si>
    <t>Diplomaaa</t>
  </si>
  <si>
    <t>Marco</t>
  </si>
  <si>
    <t>Rossi</t>
  </si>
  <si>
    <t>Italy</t>
  </si>
  <si>
    <t>Ingrid</t>
  </si>
  <si>
    <t>Eide</t>
  </si>
  <si>
    <t>Hanna</t>
  </si>
  <si>
    <t>Andresen</t>
  </si>
  <si>
    <t>Jorunn</t>
  </si>
  <si>
    <t>Sebastian</t>
  </si>
  <si>
    <t>Kristiansen</t>
  </si>
  <si>
    <t>Camilla</t>
  </si>
  <si>
    <t>Mikkelsen</t>
  </si>
  <si>
    <t>Prof</t>
  </si>
  <si>
    <t>Birkeland</t>
  </si>
  <si>
    <t>Isaksen</t>
  </si>
  <si>
    <t>Kristine</t>
  </si>
  <si>
    <t>Berg</t>
  </si>
  <si>
    <t>Carmen</t>
  </si>
  <si>
    <t>Rodríguez</t>
  </si>
  <si>
    <t>Spain</t>
  </si>
  <si>
    <t>Ahmed</t>
  </si>
  <si>
    <t>Gunnar</t>
  </si>
  <si>
    <t>Brekke</t>
  </si>
  <si>
    <t>Gerd</t>
  </si>
  <si>
    <t>Bakken</t>
  </si>
  <si>
    <t>Aisha</t>
  </si>
  <si>
    <t>Nakaweesi</t>
  </si>
  <si>
    <t>Kato</t>
  </si>
  <si>
    <t>Muwanguzi</t>
  </si>
  <si>
    <t>Nansubuga</t>
  </si>
  <si>
    <t>Nakalema</t>
  </si>
  <si>
    <t>Joakim</t>
  </si>
  <si>
    <t>Edvardsen</t>
  </si>
  <si>
    <t>Don</t>
  </si>
  <si>
    <t>Pettersen</t>
  </si>
  <si>
    <t>Perry</t>
  </si>
  <si>
    <t>Rønning</t>
  </si>
  <si>
    <t>Doctorate</t>
  </si>
  <si>
    <t>Frank</t>
  </si>
  <si>
    <t>Abrahamsen</t>
  </si>
  <si>
    <t>Line</t>
  </si>
  <si>
    <t>Næss</t>
  </si>
  <si>
    <t>Thor</t>
  </si>
  <si>
    <t>Sandvik</t>
  </si>
  <si>
    <t>Petter</t>
  </si>
  <si>
    <t>Ellingsen</t>
  </si>
  <si>
    <t>Sindre</t>
  </si>
  <si>
    <t>Simen</t>
  </si>
  <si>
    <t>Myhre</t>
  </si>
  <si>
    <t>Bjørg</t>
  </si>
  <si>
    <t>Fredriksen</t>
  </si>
  <si>
    <t>Trond</t>
  </si>
  <si>
    <t>Karlsen</t>
  </si>
  <si>
    <t>Emily</t>
  </si>
  <si>
    <t>Thompson</t>
  </si>
  <si>
    <t>UK</t>
  </si>
  <si>
    <t>Unni</t>
  </si>
  <si>
    <t>Jacobsen</t>
  </si>
  <si>
    <t>Ruth</t>
  </si>
  <si>
    <t>Pedersen</t>
  </si>
  <si>
    <t>Inger</t>
  </si>
  <si>
    <t>Peninah</t>
  </si>
  <si>
    <t>Berit</t>
  </si>
  <si>
    <t>Jenny</t>
  </si>
  <si>
    <t>Kristoffersen</t>
  </si>
  <si>
    <t>Thea</t>
  </si>
  <si>
    <t>Knutsen</t>
  </si>
  <si>
    <t>Dag</t>
  </si>
  <si>
    <t>Arnesen</t>
  </si>
  <si>
    <t>Mwanaidi</t>
  </si>
  <si>
    <t>Ali</t>
  </si>
  <si>
    <t>Somali</t>
  </si>
  <si>
    <t>Chinedu</t>
  </si>
  <si>
    <t>Morison</t>
  </si>
  <si>
    <t>Nigeria</t>
  </si>
  <si>
    <t>Irene</t>
  </si>
  <si>
    <t>Strømertan</t>
  </si>
  <si>
    <t>Okafor</t>
  </si>
  <si>
    <t>Marianne</t>
  </si>
  <si>
    <t>Ruud</t>
  </si>
  <si>
    <t>Jens</t>
  </si>
  <si>
    <t>Lunde</t>
  </si>
  <si>
    <t>Morten</t>
  </si>
  <si>
    <t>Karoline</t>
  </si>
  <si>
    <t>Ola</t>
  </si>
  <si>
    <t>Bakke</t>
  </si>
  <si>
    <t>Tore</t>
  </si>
  <si>
    <t>Caroline</t>
  </si>
  <si>
    <t>Narocho</t>
  </si>
  <si>
    <t>Silvia</t>
  </si>
  <si>
    <t>Valentino</t>
  </si>
  <si>
    <t>Ojiambo</t>
  </si>
  <si>
    <t>Peter</t>
  </si>
  <si>
    <t>Kubebea</t>
  </si>
  <si>
    <t>Anna</t>
  </si>
  <si>
    <t>Müller</t>
  </si>
  <si>
    <t>Germany</t>
  </si>
  <si>
    <t>Lucas</t>
  </si>
  <si>
    <t>Schmidt</t>
  </si>
  <si>
    <t>Marie</t>
  </si>
  <si>
    <t>Dubois</t>
  </si>
  <si>
    <t>France</t>
  </si>
  <si>
    <t>Thomas</t>
  </si>
  <si>
    <t>García</t>
  </si>
  <si>
    <t>Janssen</t>
  </si>
  <si>
    <t>Maximilan</t>
  </si>
  <si>
    <t>Martini</t>
  </si>
  <si>
    <t>Clara</t>
  </si>
  <si>
    <t>Bernard</t>
  </si>
  <si>
    <t>Julian</t>
  </si>
  <si>
    <t>Nielsen</t>
  </si>
  <si>
    <t>Sophie</t>
  </si>
  <si>
    <t>Brown</t>
  </si>
  <si>
    <t>Leon</t>
  </si>
  <si>
    <t>Bauer</t>
  </si>
  <si>
    <t>Mohammed</t>
  </si>
  <si>
    <t>Salim</t>
  </si>
  <si>
    <t>Full Name</t>
  </si>
  <si>
    <t>Country</t>
  </si>
  <si>
    <t>Residence</t>
  </si>
  <si>
    <t>Previous Education</t>
  </si>
  <si>
    <t>Python Grades</t>
  </si>
  <si>
    <t>Gender</t>
  </si>
  <si>
    <t>I cleaned the dataset using the following steps:</t>
  </si>
  <si>
    <r>
      <t>Name Columns:</t>
    </r>
    <r>
      <rPr>
        <sz val="11"/>
        <color theme="1"/>
        <rFont val="Aptos Narrow"/>
        <family val="2"/>
        <scheme val="minor"/>
      </rPr>
      <t xml:space="preserve"> Combined first and last names using </t>
    </r>
    <r>
      <rPr>
        <sz val="10"/>
        <color theme="1"/>
        <rFont val="Arial Unicode MS"/>
      </rPr>
      <t>CONCATENATE()</t>
    </r>
    <r>
      <rPr>
        <sz val="11"/>
        <color theme="1"/>
        <rFont val="Aptos Narrow"/>
        <family val="2"/>
        <scheme val="minor"/>
      </rPr>
      <t xml:space="preserve"> and standardized capitalization with </t>
    </r>
    <r>
      <rPr>
        <sz val="10"/>
        <color theme="1"/>
        <rFont val="Arial Unicode MS"/>
      </rPr>
      <t>PROPER()</t>
    </r>
    <r>
      <rPr>
        <sz val="11"/>
        <color theme="1"/>
        <rFont val="Aptos Narrow"/>
        <family val="2"/>
        <scheme val="minor"/>
      </rPr>
      <t xml:space="preserve"> to ensure consistent formatting.</t>
    </r>
  </si>
  <si>
    <r>
      <t>Gender Column:</t>
    </r>
    <r>
      <rPr>
        <sz val="11"/>
        <color theme="1"/>
        <rFont val="Aptos Narrow"/>
        <family val="2"/>
        <scheme val="minor"/>
      </rPr>
      <t xml:space="preserve"> Used </t>
    </r>
    <r>
      <rPr>
        <sz val="10"/>
        <color theme="1"/>
        <rFont val="Arial Unicode MS"/>
      </rPr>
      <t>IFS()</t>
    </r>
    <r>
      <rPr>
        <sz val="11"/>
        <color theme="1"/>
        <rFont val="Aptos Narrow"/>
        <family val="2"/>
        <scheme val="minor"/>
      </rPr>
      <t xml:space="preserve"> to standardize values labeled as "F" and "M" for female and male, ensuring uniformity across the dataset.</t>
    </r>
  </si>
  <si>
    <r>
      <t>Country Column:</t>
    </r>
    <r>
      <rPr>
        <sz val="11"/>
        <color theme="1"/>
        <rFont val="Aptos Narrow"/>
        <family val="2"/>
        <scheme val="minor"/>
      </rPr>
      <t xml:space="preserve"> Applied </t>
    </r>
    <r>
      <rPr>
        <sz val="10"/>
        <color theme="1"/>
        <rFont val="Arial Unicode MS"/>
      </rPr>
      <t>IFS()</t>
    </r>
    <r>
      <rPr>
        <sz val="11"/>
        <color theme="1"/>
        <rFont val="Aptos Narrow"/>
        <family val="2"/>
        <scheme val="minor"/>
      </rPr>
      <t xml:space="preserve"> to correct mislabeled entries, such as changing "Rsa" to "South Africa," so that pivot tables and other analyses would have consistent data.</t>
    </r>
  </si>
  <si>
    <r>
      <t>Residence Column:</t>
    </r>
    <r>
      <rPr>
        <sz val="11"/>
        <color theme="1"/>
        <rFont val="Aptos Narrow"/>
        <family val="2"/>
        <scheme val="minor"/>
      </rPr>
      <t xml:space="preserve"> Identified inconsistencies using Conditional Formatting to highlight duplicates, then used "Find and Replace" (</t>
    </r>
    <r>
      <rPr>
        <sz val="10"/>
        <color theme="1"/>
        <rFont val="Arial Unicode MS"/>
      </rPr>
      <t>Ctrl + H</t>
    </r>
    <r>
      <rPr>
        <sz val="11"/>
        <color theme="1"/>
        <rFont val="Aptos Narrow"/>
        <family val="2"/>
        <scheme val="minor"/>
      </rPr>
      <t>) to correct three incorrectly spelled entries to the proper value: "BI Residence."</t>
    </r>
  </si>
  <si>
    <r>
      <t>Previous Education Column:</t>
    </r>
    <r>
      <rPr>
        <sz val="11"/>
        <color theme="1"/>
        <rFont val="Aptos Narrow"/>
        <family val="2"/>
        <scheme val="minor"/>
      </rPr>
      <t xml:space="preserve"> Used a combination of the </t>
    </r>
    <r>
      <rPr>
        <sz val="10"/>
        <color theme="1"/>
        <rFont val="Arial Unicode MS"/>
      </rPr>
      <t>SEARCH()</t>
    </r>
    <r>
      <rPr>
        <sz val="11"/>
        <color theme="1"/>
        <rFont val="Aptos Narrow"/>
        <family val="2"/>
        <scheme val="minor"/>
      </rPr>
      <t xml:space="preserve"> function and corrections, similar to the gender column process, to fix any misspelled entries and standardize the education data.</t>
    </r>
  </si>
  <si>
    <r>
      <t>Missing Values:</t>
    </r>
    <r>
      <rPr>
        <sz val="11"/>
        <color theme="1"/>
        <rFont val="Aptos Narrow"/>
        <family val="2"/>
        <scheme val="minor"/>
      </rPr>
      <t xml:space="preserve"> Applied an </t>
    </r>
    <r>
      <rPr>
        <sz val="10"/>
        <color theme="1"/>
        <rFont val="Arial Unicode MS"/>
      </rPr>
      <t>IF()</t>
    </r>
    <r>
      <rPr>
        <sz val="11"/>
        <color theme="1"/>
        <rFont val="Aptos Narrow"/>
        <family val="2"/>
        <scheme val="minor"/>
      </rPr>
      <t xml:space="preserve"> function to eliminate blanks and ensure the dataset was complete.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</si>
</sst>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A262-11B9-4739-9063-E9BB5D8B1DEA}">
  <dimension ref="A1:K78"/>
  <sheetViews>
    <sheetView workbookViewId="0">
      <selection activeCell="Q18" sqref="Q17:Q18"/>
    </sheetView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44</v>
      </c>
      <c r="D2" t="s">
        <v>13</v>
      </c>
      <c r="E2" t="s">
        <v>14</v>
      </c>
      <c r="F2" t="s">
        <v>15</v>
      </c>
      <c r="G2">
        <v>72</v>
      </c>
      <c r="H2" t="s">
        <v>16</v>
      </c>
      <c r="I2">
        <v>158</v>
      </c>
      <c r="J2">
        <v>59</v>
      </c>
      <c r="K2">
        <v>55</v>
      </c>
    </row>
    <row r="3" spans="1:11">
      <c r="A3" t="s">
        <v>17</v>
      </c>
      <c r="B3" t="s">
        <v>18</v>
      </c>
      <c r="C3">
        <v>60</v>
      </c>
      <c r="D3" t="s">
        <v>19</v>
      </c>
      <c r="E3" t="s">
        <v>20</v>
      </c>
      <c r="F3" t="s">
        <v>15</v>
      </c>
      <c r="G3">
        <v>79</v>
      </c>
      <c r="H3" t="s">
        <v>21</v>
      </c>
      <c r="I3">
        <v>150</v>
      </c>
      <c r="J3">
        <v>60</v>
      </c>
      <c r="K3">
        <v>75</v>
      </c>
    </row>
    <row r="4" spans="1:11">
      <c r="A4" t="s">
        <v>22</v>
      </c>
      <c r="B4" t="s">
        <v>23</v>
      </c>
      <c r="C4">
        <v>25</v>
      </c>
      <c r="D4" t="s">
        <v>24</v>
      </c>
      <c r="E4" t="s">
        <v>25</v>
      </c>
      <c r="F4" t="s">
        <v>26</v>
      </c>
      <c r="G4">
        <v>55</v>
      </c>
      <c r="H4" t="s">
        <v>27</v>
      </c>
      <c r="I4">
        <v>130</v>
      </c>
      <c r="J4">
        <v>74</v>
      </c>
      <c r="K4">
        <v>50</v>
      </c>
    </row>
    <row r="5" spans="1:11">
      <c r="A5" t="s">
        <v>28</v>
      </c>
      <c r="B5" t="s">
        <v>29</v>
      </c>
      <c r="C5">
        <v>22</v>
      </c>
      <c r="D5" t="s">
        <v>30</v>
      </c>
      <c r="E5" t="s">
        <v>31</v>
      </c>
      <c r="F5" t="s">
        <v>26</v>
      </c>
      <c r="G5">
        <v>40</v>
      </c>
      <c r="H5" t="s">
        <v>32</v>
      </c>
      <c r="I5">
        <v>120</v>
      </c>
      <c r="K5">
        <v>44</v>
      </c>
    </row>
    <row r="6" spans="1:11">
      <c r="A6" t="s">
        <v>33</v>
      </c>
      <c r="B6" t="s">
        <v>34</v>
      </c>
      <c r="C6">
        <v>23</v>
      </c>
      <c r="D6" t="s">
        <v>13</v>
      </c>
      <c r="E6" t="s">
        <v>35</v>
      </c>
      <c r="F6" t="s">
        <v>26</v>
      </c>
      <c r="G6">
        <v>65</v>
      </c>
      <c r="H6" t="s">
        <v>32</v>
      </c>
      <c r="I6">
        <v>122</v>
      </c>
      <c r="J6">
        <v>91</v>
      </c>
      <c r="K6">
        <v>80</v>
      </c>
    </row>
    <row r="7" spans="1:11">
      <c r="A7" t="s">
        <v>36</v>
      </c>
      <c r="B7" t="s">
        <v>37</v>
      </c>
      <c r="C7">
        <v>25</v>
      </c>
      <c r="D7" t="s">
        <v>38</v>
      </c>
      <c r="E7" t="s">
        <v>39</v>
      </c>
      <c r="F7" t="s">
        <v>40</v>
      </c>
      <c r="G7">
        <v>66</v>
      </c>
      <c r="H7" t="s">
        <v>32</v>
      </c>
      <c r="I7">
        <v>130</v>
      </c>
      <c r="J7">
        <v>88</v>
      </c>
      <c r="K7">
        <v>59</v>
      </c>
    </row>
    <row r="8" spans="1:11">
      <c r="A8" t="s">
        <v>41</v>
      </c>
      <c r="B8" t="s">
        <v>42</v>
      </c>
      <c r="C8">
        <v>27</v>
      </c>
      <c r="D8" t="s">
        <v>24</v>
      </c>
      <c r="E8" t="s">
        <v>14</v>
      </c>
      <c r="F8" t="s">
        <v>43</v>
      </c>
      <c r="G8">
        <v>90</v>
      </c>
      <c r="H8" t="s">
        <v>44</v>
      </c>
      <c r="I8">
        <v>156</v>
      </c>
      <c r="J8">
        <v>80</v>
      </c>
      <c r="K8">
        <v>91</v>
      </c>
    </row>
    <row r="9" spans="1:11">
      <c r="A9" t="s">
        <v>45</v>
      </c>
      <c r="B9" t="s">
        <v>46</v>
      </c>
      <c r="C9">
        <v>29</v>
      </c>
      <c r="D9" t="s">
        <v>24</v>
      </c>
      <c r="E9" t="s">
        <v>47</v>
      </c>
      <c r="F9" t="s">
        <v>48</v>
      </c>
      <c r="G9">
        <v>89</v>
      </c>
      <c r="H9" t="s">
        <v>49</v>
      </c>
      <c r="I9">
        <v>160</v>
      </c>
      <c r="J9">
        <v>85</v>
      </c>
      <c r="K9">
        <v>60</v>
      </c>
    </row>
    <row r="10" spans="1:11">
      <c r="A10" t="s">
        <v>50</v>
      </c>
      <c r="B10" t="s">
        <v>51</v>
      </c>
      <c r="C10">
        <v>31</v>
      </c>
      <c r="D10" t="s">
        <v>24</v>
      </c>
      <c r="E10" t="s">
        <v>14</v>
      </c>
      <c r="F10" t="s">
        <v>40</v>
      </c>
      <c r="G10">
        <v>88</v>
      </c>
      <c r="H10" t="s">
        <v>44</v>
      </c>
      <c r="I10">
        <v>156</v>
      </c>
      <c r="J10">
        <v>80</v>
      </c>
      <c r="K10">
        <v>89</v>
      </c>
    </row>
    <row r="11" spans="1:11">
      <c r="A11" t="s">
        <v>52</v>
      </c>
      <c r="B11" t="s">
        <v>53</v>
      </c>
      <c r="C11">
        <v>33</v>
      </c>
      <c r="D11" t="s">
        <v>13</v>
      </c>
      <c r="E11" t="s">
        <v>54</v>
      </c>
      <c r="F11" t="s">
        <v>55</v>
      </c>
      <c r="G11">
        <v>85</v>
      </c>
      <c r="H11" t="s">
        <v>44</v>
      </c>
      <c r="I11">
        <v>160</v>
      </c>
      <c r="J11">
        <v>83</v>
      </c>
      <c r="K11">
        <v>90</v>
      </c>
    </row>
    <row r="12" spans="1:11">
      <c r="A12" t="s">
        <v>56</v>
      </c>
      <c r="B12" t="s">
        <v>57</v>
      </c>
      <c r="C12">
        <v>34</v>
      </c>
      <c r="D12" t="s">
        <v>13</v>
      </c>
      <c r="E12" t="s">
        <v>58</v>
      </c>
      <c r="F12" t="s">
        <v>40</v>
      </c>
      <c r="G12">
        <v>65</v>
      </c>
      <c r="H12" t="s">
        <v>44</v>
      </c>
      <c r="I12">
        <v>156</v>
      </c>
      <c r="J12">
        <v>79</v>
      </c>
      <c r="K12">
        <v>58</v>
      </c>
    </row>
    <row r="13" spans="1:11">
      <c r="A13" t="s">
        <v>59</v>
      </c>
      <c r="B13" t="s">
        <v>60</v>
      </c>
      <c r="C13">
        <v>36</v>
      </c>
      <c r="D13" t="s">
        <v>13</v>
      </c>
      <c r="E13" t="s">
        <v>14</v>
      </c>
      <c r="F13" t="s">
        <v>15</v>
      </c>
      <c r="G13">
        <v>70</v>
      </c>
      <c r="H13" t="s">
        <v>61</v>
      </c>
      <c r="I13">
        <v>156</v>
      </c>
      <c r="J13">
        <v>80</v>
      </c>
      <c r="K13">
        <v>55</v>
      </c>
    </row>
    <row r="14" spans="1:11">
      <c r="A14" t="s">
        <v>62</v>
      </c>
      <c r="B14" t="s">
        <v>63</v>
      </c>
      <c r="C14">
        <v>38</v>
      </c>
      <c r="D14" t="s">
        <v>64</v>
      </c>
      <c r="E14" t="s">
        <v>14</v>
      </c>
      <c r="F14" t="s">
        <v>15</v>
      </c>
      <c r="G14">
        <v>91</v>
      </c>
      <c r="H14" t="s">
        <v>65</v>
      </c>
      <c r="I14">
        <v>156</v>
      </c>
      <c r="J14">
        <v>85</v>
      </c>
      <c r="K14">
        <v>99</v>
      </c>
    </row>
    <row r="15" spans="1:11">
      <c r="A15" t="s">
        <v>66</v>
      </c>
      <c r="B15" t="s">
        <v>67</v>
      </c>
      <c r="C15">
        <v>40</v>
      </c>
      <c r="D15" t="s">
        <v>13</v>
      </c>
      <c r="E15" t="s">
        <v>14</v>
      </c>
      <c r="F15" t="s">
        <v>15</v>
      </c>
      <c r="G15">
        <v>77</v>
      </c>
      <c r="H15" t="s">
        <v>68</v>
      </c>
      <c r="I15">
        <v>144</v>
      </c>
      <c r="J15">
        <v>70</v>
      </c>
      <c r="K15">
        <v>76</v>
      </c>
    </row>
    <row r="16" spans="1:11">
      <c r="A16" t="s">
        <v>69</v>
      </c>
      <c r="B16" t="s">
        <v>70</v>
      </c>
      <c r="C16">
        <v>42</v>
      </c>
      <c r="D16" t="s">
        <v>24</v>
      </c>
      <c r="E16" t="s">
        <v>71</v>
      </c>
      <c r="F16" t="s">
        <v>15</v>
      </c>
      <c r="G16">
        <v>80</v>
      </c>
      <c r="H16" t="s">
        <v>44</v>
      </c>
      <c r="I16">
        <v>152</v>
      </c>
      <c r="J16">
        <v>75</v>
      </c>
      <c r="K16">
        <v>77</v>
      </c>
    </row>
    <row r="17" spans="1:11">
      <c r="A17" t="s">
        <v>72</v>
      </c>
      <c r="B17" t="s">
        <v>73</v>
      </c>
      <c r="C17">
        <v>43</v>
      </c>
      <c r="D17" t="s">
        <v>13</v>
      </c>
      <c r="E17" t="s">
        <v>14</v>
      </c>
      <c r="F17" t="s">
        <v>15</v>
      </c>
      <c r="G17">
        <v>81</v>
      </c>
      <c r="H17" t="s">
        <v>44</v>
      </c>
      <c r="I17">
        <v>156</v>
      </c>
      <c r="J17">
        <v>80</v>
      </c>
      <c r="K17">
        <v>82</v>
      </c>
    </row>
    <row r="18" spans="1:11">
      <c r="A18" t="s">
        <v>74</v>
      </c>
      <c r="B18" t="s">
        <v>75</v>
      </c>
      <c r="C18">
        <v>45</v>
      </c>
      <c r="D18" t="s">
        <v>13</v>
      </c>
      <c r="E18" t="s">
        <v>14</v>
      </c>
      <c r="F18" t="s">
        <v>15</v>
      </c>
      <c r="G18">
        <v>85</v>
      </c>
      <c r="H18" t="s">
        <v>44</v>
      </c>
      <c r="I18">
        <v>156</v>
      </c>
      <c r="J18">
        <v>87</v>
      </c>
      <c r="K18">
        <v>82</v>
      </c>
    </row>
    <row r="19" spans="1:11">
      <c r="A19" t="s">
        <v>76</v>
      </c>
      <c r="B19" t="s">
        <v>60</v>
      </c>
      <c r="C19">
        <v>47</v>
      </c>
      <c r="D19" t="s">
        <v>13</v>
      </c>
      <c r="E19" t="s">
        <v>14</v>
      </c>
      <c r="F19" t="s">
        <v>15</v>
      </c>
      <c r="G19">
        <v>86</v>
      </c>
      <c r="H19" t="s">
        <v>44</v>
      </c>
      <c r="I19">
        <v>156</v>
      </c>
      <c r="J19">
        <v>80</v>
      </c>
      <c r="K19">
        <v>78</v>
      </c>
    </row>
    <row r="20" spans="1:11">
      <c r="A20" t="s">
        <v>77</v>
      </c>
      <c r="B20" t="s">
        <v>78</v>
      </c>
      <c r="C20">
        <v>48</v>
      </c>
      <c r="D20" t="s">
        <v>24</v>
      </c>
      <c r="E20" t="s">
        <v>14</v>
      </c>
      <c r="F20" t="s">
        <v>15</v>
      </c>
      <c r="G20">
        <v>75</v>
      </c>
      <c r="H20" t="s">
        <v>44</v>
      </c>
      <c r="I20">
        <v>148</v>
      </c>
      <c r="J20">
        <v>76</v>
      </c>
      <c r="K20">
        <v>73</v>
      </c>
    </row>
    <row r="21" spans="1:11">
      <c r="A21" t="s">
        <v>79</v>
      </c>
      <c r="B21" t="s">
        <v>80</v>
      </c>
      <c r="C21">
        <v>50</v>
      </c>
      <c r="D21" t="s">
        <v>13</v>
      </c>
      <c r="E21" t="s">
        <v>14</v>
      </c>
      <c r="F21" t="s">
        <v>15</v>
      </c>
      <c r="G21">
        <v>95</v>
      </c>
      <c r="H21" t="s">
        <v>16</v>
      </c>
      <c r="I21">
        <v>160</v>
      </c>
      <c r="J21">
        <v>84</v>
      </c>
      <c r="K21">
        <v>90</v>
      </c>
    </row>
    <row r="22" spans="1:11">
      <c r="A22" t="s">
        <v>81</v>
      </c>
      <c r="B22" t="s">
        <v>82</v>
      </c>
      <c r="C22">
        <v>22</v>
      </c>
      <c r="D22" t="s">
        <v>24</v>
      </c>
      <c r="E22" t="s">
        <v>14</v>
      </c>
      <c r="F22" t="s">
        <v>40</v>
      </c>
      <c r="G22">
        <v>45</v>
      </c>
      <c r="H22" t="s">
        <v>32</v>
      </c>
      <c r="I22">
        <v>116</v>
      </c>
      <c r="J22">
        <v>33</v>
      </c>
      <c r="K22">
        <v>30</v>
      </c>
    </row>
    <row r="23" spans="1:11">
      <c r="A23" t="s">
        <v>74</v>
      </c>
      <c r="B23" t="s">
        <v>83</v>
      </c>
      <c r="C23">
        <v>24</v>
      </c>
      <c r="D23" t="s">
        <v>13</v>
      </c>
      <c r="E23" t="s">
        <v>14</v>
      </c>
      <c r="F23" t="s">
        <v>40</v>
      </c>
      <c r="G23">
        <v>50</v>
      </c>
      <c r="H23" t="s">
        <v>32</v>
      </c>
      <c r="I23">
        <v>114</v>
      </c>
      <c r="J23">
        <v>30</v>
      </c>
      <c r="K23">
        <v>50</v>
      </c>
    </row>
    <row r="24" spans="1:11">
      <c r="A24" t="s">
        <v>84</v>
      </c>
      <c r="B24" t="s">
        <v>85</v>
      </c>
      <c r="C24">
        <v>26</v>
      </c>
      <c r="D24" t="s">
        <v>13</v>
      </c>
      <c r="E24" t="s">
        <v>14</v>
      </c>
      <c r="F24" t="s">
        <v>40</v>
      </c>
      <c r="G24">
        <v>55</v>
      </c>
      <c r="H24" t="s">
        <v>32</v>
      </c>
      <c r="I24">
        <v>140</v>
      </c>
      <c r="J24">
        <v>61</v>
      </c>
      <c r="K24">
        <v>56</v>
      </c>
    </row>
    <row r="25" spans="1:11">
      <c r="A25" t="s">
        <v>86</v>
      </c>
      <c r="B25" t="s">
        <v>87</v>
      </c>
      <c r="C25">
        <v>28</v>
      </c>
      <c r="D25" t="s">
        <v>13</v>
      </c>
      <c r="E25" t="s">
        <v>88</v>
      </c>
      <c r="F25" t="s">
        <v>40</v>
      </c>
      <c r="G25">
        <v>78</v>
      </c>
      <c r="H25" t="s">
        <v>44</v>
      </c>
      <c r="I25">
        <v>156</v>
      </c>
      <c r="J25">
        <v>80</v>
      </c>
      <c r="K25">
        <v>55</v>
      </c>
    </row>
    <row r="26" spans="1:11">
      <c r="A26" t="s">
        <v>62</v>
      </c>
      <c r="B26" t="s">
        <v>89</v>
      </c>
      <c r="C26">
        <v>30</v>
      </c>
      <c r="D26" t="s">
        <v>24</v>
      </c>
      <c r="E26" t="s">
        <v>14</v>
      </c>
      <c r="F26" t="s">
        <v>40</v>
      </c>
      <c r="G26">
        <v>82</v>
      </c>
      <c r="H26" t="s">
        <v>44</v>
      </c>
      <c r="I26">
        <v>156</v>
      </c>
      <c r="J26">
        <v>82</v>
      </c>
      <c r="K26">
        <v>65</v>
      </c>
    </row>
    <row r="27" spans="1:11">
      <c r="A27" t="s">
        <v>90</v>
      </c>
      <c r="B27" t="s">
        <v>91</v>
      </c>
      <c r="C27">
        <v>32</v>
      </c>
      <c r="D27" t="s">
        <v>24</v>
      </c>
      <c r="E27" t="s">
        <v>14</v>
      </c>
      <c r="F27" t="s">
        <v>40</v>
      </c>
      <c r="G27">
        <v>81</v>
      </c>
      <c r="H27" t="s">
        <v>44</v>
      </c>
      <c r="I27">
        <v>158</v>
      </c>
      <c r="J27">
        <v>85</v>
      </c>
      <c r="K27">
        <v>83</v>
      </c>
    </row>
    <row r="28" spans="1:11">
      <c r="A28" t="s">
        <v>92</v>
      </c>
      <c r="B28" t="s">
        <v>93</v>
      </c>
      <c r="C28">
        <v>35</v>
      </c>
      <c r="D28" t="s">
        <v>13</v>
      </c>
      <c r="E28" t="s">
        <v>14</v>
      </c>
      <c r="F28" t="s">
        <v>40</v>
      </c>
      <c r="G28">
        <v>92</v>
      </c>
      <c r="H28" t="s">
        <v>16</v>
      </c>
      <c r="I28">
        <v>160</v>
      </c>
      <c r="J28">
        <v>87</v>
      </c>
      <c r="K28">
        <v>88</v>
      </c>
    </row>
    <row r="29" spans="1:11">
      <c r="A29" t="s">
        <v>94</v>
      </c>
      <c r="B29" t="s">
        <v>95</v>
      </c>
      <c r="C29">
        <v>37</v>
      </c>
      <c r="D29" t="s">
        <v>13</v>
      </c>
      <c r="E29" t="s">
        <v>25</v>
      </c>
      <c r="F29" t="s">
        <v>15</v>
      </c>
      <c r="G29">
        <v>55</v>
      </c>
      <c r="H29" t="s">
        <v>21</v>
      </c>
      <c r="I29">
        <v>142</v>
      </c>
      <c r="J29">
        <v>66</v>
      </c>
      <c r="K29">
        <v>58</v>
      </c>
    </row>
    <row r="30" spans="1:11">
      <c r="A30" t="s">
        <v>96</v>
      </c>
      <c r="B30" t="s">
        <v>97</v>
      </c>
      <c r="C30">
        <v>39</v>
      </c>
      <c r="D30" t="s">
        <v>24</v>
      </c>
      <c r="E30" t="s">
        <v>25</v>
      </c>
      <c r="F30" t="s">
        <v>15</v>
      </c>
      <c r="G30">
        <v>80</v>
      </c>
      <c r="H30" t="s">
        <v>44</v>
      </c>
      <c r="I30">
        <v>156</v>
      </c>
      <c r="J30">
        <v>81</v>
      </c>
      <c r="K30">
        <v>69</v>
      </c>
    </row>
    <row r="31" spans="1:11">
      <c r="A31" t="s">
        <v>98</v>
      </c>
      <c r="B31" t="s">
        <v>99</v>
      </c>
      <c r="C31">
        <v>41</v>
      </c>
      <c r="D31" t="s">
        <v>13</v>
      </c>
      <c r="E31" t="s">
        <v>25</v>
      </c>
      <c r="F31" t="s">
        <v>15</v>
      </c>
      <c r="G31">
        <v>86</v>
      </c>
      <c r="H31" t="s">
        <v>44</v>
      </c>
      <c r="I31">
        <v>154</v>
      </c>
      <c r="J31">
        <v>81</v>
      </c>
      <c r="K31">
        <v>91</v>
      </c>
    </row>
    <row r="32" spans="1:11">
      <c r="A32" t="s">
        <v>100</v>
      </c>
      <c r="B32" t="s">
        <v>101</v>
      </c>
      <c r="C32">
        <v>44</v>
      </c>
      <c r="D32" t="s">
        <v>24</v>
      </c>
      <c r="E32" t="s">
        <v>14</v>
      </c>
      <c r="F32" t="s">
        <v>15</v>
      </c>
      <c r="G32">
        <v>78</v>
      </c>
      <c r="H32" t="s">
        <v>21</v>
      </c>
      <c r="I32">
        <v>152</v>
      </c>
      <c r="J32">
        <v>80</v>
      </c>
      <c r="K32">
        <v>79</v>
      </c>
    </row>
    <row r="33" spans="1:11">
      <c r="A33" t="s">
        <v>102</v>
      </c>
      <c r="B33" t="s">
        <v>103</v>
      </c>
      <c r="C33">
        <v>46</v>
      </c>
      <c r="D33" t="s">
        <v>24</v>
      </c>
      <c r="E33" t="s">
        <v>14</v>
      </c>
      <c r="F33" t="s">
        <v>15</v>
      </c>
      <c r="G33">
        <v>76</v>
      </c>
      <c r="H33" t="s">
        <v>21</v>
      </c>
      <c r="I33">
        <v>156</v>
      </c>
      <c r="J33">
        <v>85</v>
      </c>
      <c r="K33">
        <v>45</v>
      </c>
    </row>
    <row r="34" spans="1:11">
      <c r="A34" t="s">
        <v>104</v>
      </c>
      <c r="B34" t="s">
        <v>105</v>
      </c>
      <c r="C34">
        <v>71</v>
      </c>
      <c r="D34" t="s">
        <v>13</v>
      </c>
      <c r="E34" t="s">
        <v>14</v>
      </c>
      <c r="F34" t="s">
        <v>15</v>
      </c>
      <c r="G34">
        <v>30</v>
      </c>
      <c r="H34" t="s">
        <v>106</v>
      </c>
      <c r="I34">
        <v>120</v>
      </c>
      <c r="J34">
        <v>31</v>
      </c>
      <c r="K34">
        <v>42</v>
      </c>
    </row>
    <row r="35" spans="1:11">
      <c r="A35" t="s">
        <v>107</v>
      </c>
      <c r="B35" t="s">
        <v>108</v>
      </c>
      <c r="C35">
        <v>23</v>
      </c>
      <c r="D35" t="s">
        <v>24</v>
      </c>
      <c r="E35" t="s">
        <v>14</v>
      </c>
      <c r="F35" t="s">
        <v>40</v>
      </c>
      <c r="G35">
        <v>68</v>
      </c>
      <c r="H35" t="s">
        <v>32</v>
      </c>
      <c r="I35">
        <v>152</v>
      </c>
      <c r="K35">
        <v>70</v>
      </c>
    </row>
    <row r="36" spans="1:11">
      <c r="A36" t="s">
        <v>109</v>
      </c>
      <c r="B36" t="s">
        <v>110</v>
      </c>
      <c r="C36">
        <v>25</v>
      </c>
      <c r="D36" t="s">
        <v>13</v>
      </c>
      <c r="E36" t="s">
        <v>14</v>
      </c>
      <c r="F36" t="s">
        <v>40</v>
      </c>
      <c r="G36">
        <v>98</v>
      </c>
      <c r="H36" t="s">
        <v>32</v>
      </c>
      <c r="I36">
        <v>160</v>
      </c>
      <c r="J36">
        <v>90</v>
      </c>
      <c r="K36">
        <v>90</v>
      </c>
    </row>
    <row r="37" spans="1:11">
      <c r="A37" t="s">
        <v>111</v>
      </c>
      <c r="B37" t="s">
        <v>112</v>
      </c>
      <c r="C37">
        <v>27</v>
      </c>
      <c r="D37" t="s">
        <v>24</v>
      </c>
      <c r="E37" t="s">
        <v>14</v>
      </c>
      <c r="F37" t="s">
        <v>40</v>
      </c>
      <c r="G37">
        <v>85</v>
      </c>
      <c r="H37" t="s">
        <v>44</v>
      </c>
      <c r="I37">
        <v>158</v>
      </c>
      <c r="J37">
        <v>84</v>
      </c>
      <c r="K37">
        <v>90</v>
      </c>
    </row>
    <row r="38" spans="1:11">
      <c r="A38" t="s">
        <v>113</v>
      </c>
      <c r="B38" t="s">
        <v>114</v>
      </c>
      <c r="C38">
        <v>29</v>
      </c>
      <c r="D38" t="s">
        <v>24</v>
      </c>
      <c r="E38" t="s">
        <v>14</v>
      </c>
      <c r="F38" t="s">
        <v>40</v>
      </c>
      <c r="G38">
        <v>75</v>
      </c>
      <c r="H38" t="s">
        <v>21</v>
      </c>
      <c r="I38">
        <v>156</v>
      </c>
      <c r="J38">
        <v>81</v>
      </c>
      <c r="K38">
        <v>74</v>
      </c>
    </row>
    <row r="39" spans="1:11">
      <c r="A39" t="s">
        <v>115</v>
      </c>
      <c r="B39" t="s">
        <v>37</v>
      </c>
      <c r="C39">
        <v>31</v>
      </c>
      <c r="D39" t="s">
        <v>24</v>
      </c>
      <c r="E39" t="s">
        <v>14</v>
      </c>
      <c r="F39" t="s">
        <v>40</v>
      </c>
      <c r="G39">
        <v>95</v>
      </c>
      <c r="H39" t="s">
        <v>44</v>
      </c>
      <c r="I39">
        <v>158</v>
      </c>
      <c r="J39">
        <v>87</v>
      </c>
      <c r="K39">
        <v>99</v>
      </c>
    </row>
    <row r="40" spans="1:11">
      <c r="A40" t="s">
        <v>116</v>
      </c>
      <c r="B40" t="s">
        <v>117</v>
      </c>
      <c r="C40">
        <v>33</v>
      </c>
      <c r="D40" t="s">
        <v>13</v>
      </c>
      <c r="E40" t="s">
        <v>14</v>
      </c>
      <c r="F40" t="s">
        <v>40</v>
      </c>
      <c r="G40">
        <v>50</v>
      </c>
      <c r="H40" t="s">
        <v>21</v>
      </c>
      <c r="I40">
        <v>144</v>
      </c>
      <c r="J40">
        <v>69</v>
      </c>
      <c r="K40">
        <v>33</v>
      </c>
    </row>
    <row r="41" spans="1:11">
      <c r="A41" t="s">
        <v>118</v>
      </c>
      <c r="B41" t="s">
        <v>119</v>
      </c>
      <c r="C41">
        <v>35</v>
      </c>
      <c r="D41" t="s">
        <v>24</v>
      </c>
      <c r="E41" t="s">
        <v>14</v>
      </c>
      <c r="F41" t="s">
        <v>40</v>
      </c>
      <c r="G41">
        <v>68</v>
      </c>
      <c r="H41" t="s">
        <v>21</v>
      </c>
      <c r="I41">
        <v>136</v>
      </c>
      <c r="J41">
        <v>60</v>
      </c>
      <c r="K41">
        <v>78</v>
      </c>
    </row>
    <row r="42" spans="1:11">
      <c r="A42" t="s">
        <v>120</v>
      </c>
      <c r="B42" t="s">
        <v>121</v>
      </c>
      <c r="C42">
        <v>37</v>
      </c>
      <c r="D42" t="s">
        <v>13</v>
      </c>
      <c r="E42" t="s">
        <v>14</v>
      </c>
      <c r="F42" t="s">
        <v>15</v>
      </c>
      <c r="G42">
        <v>45</v>
      </c>
      <c r="H42" t="s">
        <v>44</v>
      </c>
      <c r="I42">
        <v>142</v>
      </c>
      <c r="J42">
        <v>57</v>
      </c>
      <c r="K42">
        <v>50</v>
      </c>
    </row>
    <row r="43" spans="1:11">
      <c r="A43" t="s">
        <v>122</v>
      </c>
      <c r="B43" t="s">
        <v>123</v>
      </c>
      <c r="C43">
        <v>39</v>
      </c>
      <c r="D43" t="s">
        <v>13</v>
      </c>
      <c r="E43" t="s">
        <v>124</v>
      </c>
      <c r="F43" t="s">
        <v>15</v>
      </c>
      <c r="G43">
        <v>90</v>
      </c>
      <c r="H43" t="s">
        <v>16</v>
      </c>
      <c r="I43">
        <v>158</v>
      </c>
      <c r="J43">
        <v>85</v>
      </c>
      <c r="K43">
        <v>74</v>
      </c>
    </row>
    <row r="44" spans="1:11">
      <c r="A44" t="s">
        <v>125</v>
      </c>
      <c r="B44" t="s">
        <v>126</v>
      </c>
      <c r="C44">
        <v>41</v>
      </c>
      <c r="D44" t="s">
        <v>13</v>
      </c>
      <c r="E44" t="s">
        <v>14</v>
      </c>
      <c r="F44" t="s">
        <v>15</v>
      </c>
      <c r="G44">
        <v>90</v>
      </c>
      <c r="H44" t="s">
        <v>16</v>
      </c>
      <c r="I44">
        <v>156</v>
      </c>
      <c r="J44">
        <v>80</v>
      </c>
      <c r="K44">
        <v>83</v>
      </c>
    </row>
    <row r="45" spans="1:11">
      <c r="A45" t="s">
        <v>66</v>
      </c>
      <c r="B45" t="s">
        <v>91</v>
      </c>
      <c r="C45">
        <v>43</v>
      </c>
      <c r="D45" t="s">
        <v>13</v>
      </c>
      <c r="E45" t="s">
        <v>14</v>
      </c>
      <c r="F45" t="s">
        <v>15</v>
      </c>
      <c r="G45">
        <v>96</v>
      </c>
      <c r="H45" t="s">
        <v>16</v>
      </c>
      <c r="I45">
        <v>158</v>
      </c>
      <c r="J45">
        <v>87</v>
      </c>
      <c r="K45">
        <v>92</v>
      </c>
    </row>
    <row r="46" spans="1:11">
      <c r="A46" t="s">
        <v>127</v>
      </c>
      <c r="B46" t="s">
        <v>128</v>
      </c>
      <c r="C46">
        <v>45</v>
      </c>
      <c r="D46" t="s">
        <v>13</v>
      </c>
      <c r="E46" t="s">
        <v>14</v>
      </c>
      <c r="F46" t="s">
        <v>15</v>
      </c>
      <c r="G46">
        <v>95</v>
      </c>
      <c r="H46" t="s">
        <v>16</v>
      </c>
      <c r="I46">
        <v>160</v>
      </c>
      <c r="J46">
        <v>88</v>
      </c>
      <c r="K46">
        <v>86</v>
      </c>
    </row>
    <row r="47" spans="1:11">
      <c r="A47" t="s">
        <v>129</v>
      </c>
      <c r="B47" t="s">
        <v>53</v>
      </c>
      <c r="C47">
        <v>47</v>
      </c>
      <c r="D47" t="s">
        <v>24</v>
      </c>
      <c r="E47" t="s">
        <v>14</v>
      </c>
      <c r="F47" t="s">
        <v>15</v>
      </c>
      <c r="G47">
        <v>89</v>
      </c>
      <c r="H47" t="s">
        <v>106</v>
      </c>
      <c r="I47">
        <v>160</v>
      </c>
      <c r="J47">
        <v>86</v>
      </c>
      <c r="K47">
        <v>60</v>
      </c>
    </row>
    <row r="48" spans="1:11">
      <c r="A48" t="s">
        <v>130</v>
      </c>
      <c r="B48" t="s">
        <v>75</v>
      </c>
      <c r="C48">
        <v>22</v>
      </c>
      <c r="D48" t="s">
        <v>13</v>
      </c>
      <c r="E48" t="s">
        <v>14</v>
      </c>
      <c r="F48" t="s">
        <v>40</v>
      </c>
      <c r="G48">
        <v>78</v>
      </c>
      <c r="H48" t="s">
        <v>32</v>
      </c>
      <c r="I48">
        <v>148</v>
      </c>
      <c r="J48">
        <v>78</v>
      </c>
      <c r="K48">
        <v>74</v>
      </c>
    </row>
    <row r="49" spans="1:11">
      <c r="A49" t="s">
        <v>131</v>
      </c>
      <c r="B49" t="s">
        <v>73</v>
      </c>
      <c r="C49">
        <v>24</v>
      </c>
      <c r="D49" t="s">
        <v>13</v>
      </c>
      <c r="E49" t="s">
        <v>14</v>
      </c>
      <c r="F49" t="s">
        <v>40</v>
      </c>
      <c r="G49">
        <v>54</v>
      </c>
      <c r="H49" t="s">
        <v>32</v>
      </c>
      <c r="I49">
        <v>136</v>
      </c>
      <c r="J49">
        <v>57</v>
      </c>
      <c r="K49">
        <v>50</v>
      </c>
    </row>
    <row r="50" spans="1:11">
      <c r="A50" t="s">
        <v>132</v>
      </c>
      <c r="B50" t="s">
        <v>133</v>
      </c>
      <c r="C50">
        <v>26</v>
      </c>
      <c r="D50" t="s">
        <v>13</v>
      </c>
      <c r="E50" t="s">
        <v>14</v>
      </c>
      <c r="F50" t="s">
        <v>40</v>
      </c>
      <c r="G50">
        <v>68</v>
      </c>
      <c r="H50" t="s">
        <v>32</v>
      </c>
      <c r="I50">
        <v>124</v>
      </c>
      <c r="J50">
        <v>48</v>
      </c>
      <c r="K50">
        <v>62</v>
      </c>
    </row>
    <row r="51" spans="1:11">
      <c r="A51" t="s">
        <v>134</v>
      </c>
      <c r="B51" t="s">
        <v>135</v>
      </c>
      <c r="C51">
        <v>28</v>
      </c>
      <c r="D51" t="s">
        <v>24</v>
      </c>
      <c r="E51" t="s">
        <v>14</v>
      </c>
      <c r="F51" t="s">
        <v>40</v>
      </c>
      <c r="G51">
        <v>69</v>
      </c>
      <c r="H51" t="s">
        <v>32</v>
      </c>
      <c r="I51">
        <v>120</v>
      </c>
      <c r="J51">
        <v>45</v>
      </c>
      <c r="K51">
        <v>70</v>
      </c>
    </row>
    <row r="52" spans="1:11">
      <c r="A52" t="s">
        <v>136</v>
      </c>
      <c r="B52" t="s">
        <v>137</v>
      </c>
      <c r="C52">
        <v>30</v>
      </c>
      <c r="D52" t="s">
        <v>24</v>
      </c>
      <c r="E52" t="s">
        <v>14</v>
      </c>
      <c r="F52" t="s">
        <v>40</v>
      </c>
      <c r="G52">
        <v>95</v>
      </c>
      <c r="H52" t="s">
        <v>21</v>
      </c>
      <c r="I52">
        <v>160</v>
      </c>
      <c r="J52">
        <v>90</v>
      </c>
      <c r="K52">
        <v>89</v>
      </c>
    </row>
    <row r="53" spans="1:11">
      <c r="A53" t="s">
        <v>138</v>
      </c>
      <c r="B53" t="s">
        <v>139</v>
      </c>
      <c r="C53">
        <v>32</v>
      </c>
      <c r="D53" t="s">
        <v>13</v>
      </c>
      <c r="E53" t="s">
        <v>140</v>
      </c>
      <c r="F53" t="s">
        <v>40</v>
      </c>
      <c r="G53">
        <v>82</v>
      </c>
      <c r="H53" t="s">
        <v>44</v>
      </c>
      <c r="I53">
        <v>156</v>
      </c>
      <c r="J53">
        <v>84</v>
      </c>
      <c r="K53">
        <v>59</v>
      </c>
    </row>
    <row r="54" spans="1:11">
      <c r="A54" t="s">
        <v>50</v>
      </c>
      <c r="B54" t="s">
        <v>128</v>
      </c>
      <c r="C54">
        <v>21</v>
      </c>
      <c r="D54" t="s">
        <v>13</v>
      </c>
      <c r="E54" t="s">
        <v>14</v>
      </c>
      <c r="F54" t="s">
        <v>40</v>
      </c>
      <c r="G54">
        <v>70</v>
      </c>
      <c r="H54" t="s">
        <v>32</v>
      </c>
      <c r="I54">
        <v>138</v>
      </c>
      <c r="J54">
        <v>69</v>
      </c>
      <c r="K54">
        <v>47</v>
      </c>
    </row>
    <row r="55" spans="1:11">
      <c r="A55" t="s">
        <v>141</v>
      </c>
      <c r="B55" t="s">
        <v>142</v>
      </c>
      <c r="C55">
        <v>36</v>
      </c>
      <c r="D55" t="s">
        <v>24</v>
      </c>
      <c r="E55" t="s">
        <v>143</v>
      </c>
      <c r="F55" t="s">
        <v>15</v>
      </c>
      <c r="G55">
        <v>28</v>
      </c>
      <c r="H55" t="s">
        <v>21</v>
      </c>
      <c r="I55">
        <v>120</v>
      </c>
      <c r="J55">
        <v>15</v>
      </c>
      <c r="K55">
        <v>67</v>
      </c>
    </row>
    <row r="56" spans="1:11">
      <c r="A56" t="s">
        <v>144</v>
      </c>
      <c r="B56" t="s">
        <v>145</v>
      </c>
      <c r="C56">
        <v>38</v>
      </c>
      <c r="D56" t="s">
        <v>13</v>
      </c>
      <c r="E56" t="s">
        <v>14</v>
      </c>
      <c r="F56" t="s">
        <v>15</v>
      </c>
      <c r="G56">
        <v>80</v>
      </c>
      <c r="H56" t="s">
        <v>16</v>
      </c>
      <c r="I56">
        <v>158</v>
      </c>
      <c r="J56">
        <v>84</v>
      </c>
      <c r="K56">
        <v>50</v>
      </c>
    </row>
    <row r="57" spans="1:11">
      <c r="A57" t="s">
        <v>141</v>
      </c>
      <c r="B57" t="s">
        <v>146</v>
      </c>
      <c r="C57">
        <v>69</v>
      </c>
      <c r="D57" t="s">
        <v>24</v>
      </c>
      <c r="E57" t="s">
        <v>143</v>
      </c>
      <c r="F57" t="s">
        <v>15</v>
      </c>
      <c r="G57">
        <v>94</v>
      </c>
      <c r="H57" t="s">
        <v>106</v>
      </c>
      <c r="I57">
        <v>160</v>
      </c>
      <c r="J57">
        <v>87</v>
      </c>
      <c r="K57">
        <v>88</v>
      </c>
    </row>
    <row r="58" spans="1:11">
      <c r="A58" t="s">
        <v>147</v>
      </c>
      <c r="B58" t="s">
        <v>148</v>
      </c>
      <c r="C58">
        <v>42</v>
      </c>
      <c r="D58" t="s">
        <v>24</v>
      </c>
      <c r="E58" t="s">
        <v>14</v>
      </c>
      <c r="F58" t="s">
        <v>15</v>
      </c>
      <c r="G58">
        <v>91</v>
      </c>
      <c r="H58" t="s">
        <v>106</v>
      </c>
      <c r="I58">
        <v>158</v>
      </c>
      <c r="J58">
        <v>84</v>
      </c>
      <c r="K58">
        <v>82</v>
      </c>
    </row>
    <row r="59" spans="1:11">
      <c r="A59" t="s">
        <v>149</v>
      </c>
      <c r="B59" t="s">
        <v>150</v>
      </c>
      <c r="C59">
        <v>25</v>
      </c>
      <c r="D59" t="s">
        <v>24</v>
      </c>
      <c r="E59" t="s">
        <v>14</v>
      </c>
      <c r="F59" t="s">
        <v>40</v>
      </c>
      <c r="G59">
        <v>90</v>
      </c>
      <c r="H59" t="s">
        <v>32</v>
      </c>
      <c r="I59">
        <v>156</v>
      </c>
      <c r="J59">
        <v>81</v>
      </c>
      <c r="K59">
        <v>100</v>
      </c>
    </row>
    <row r="60" spans="1:11">
      <c r="A60" t="s">
        <v>151</v>
      </c>
      <c r="B60" t="s">
        <v>46</v>
      </c>
      <c r="C60">
        <v>46</v>
      </c>
      <c r="D60" t="s">
        <v>13</v>
      </c>
      <c r="E60" t="s">
        <v>14</v>
      </c>
      <c r="F60" t="s">
        <v>15</v>
      </c>
      <c r="G60">
        <v>94</v>
      </c>
      <c r="H60" t="s">
        <v>106</v>
      </c>
      <c r="I60">
        <v>160</v>
      </c>
      <c r="J60">
        <v>90</v>
      </c>
      <c r="K60">
        <v>77</v>
      </c>
    </row>
    <row r="61" spans="1:11">
      <c r="A61" t="s">
        <v>152</v>
      </c>
      <c r="B61" t="s">
        <v>89</v>
      </c>
      <c r="C61">
        <v>26</v>
      </c>
      <c r="D61" t="s">
        <v>13</v>
      </c>
      <c r="E61" t="s">
        <v>14</v>
      </c>
      <c r="F61" t="s">
        <v>40</v>
      </c>
      <c r="G61">
        <v>76</v>
      </c>
      <c r="H61" t="s">
        <v>32</v>
      </c>
      <c r="I61">
        <v>156</v>
      </c>
      <c r="J61">
        <v>84</v>
      </c>
      <c r="K61">
        <v>61</v>
      </c>
    </row>
    <row r="62" spans="1:11">
      <c r="A62" t="s">
        <v>153</v>
      </c>
      <c r="B62" t="s">
        <v>154</v>
      </c>
      <c r="C62">
        <v>50</v>
      </c>
      <c r="D62" t="s">
        <v>13</v>
      </c>
      <c r="E62" t="s">
        <v>14</v>
      </c>
      <c r="F62" t="s">
        <v>15</v>
      </c>
      <c r="G62">
        <v>81</v>
      </c>
      <c r="H62" t="s">
        <v>44</v>
      </c>
      <c r="I62">
        <v>158</v>
      </c>
      <c r="J62">
        <v>87</v>
      </c>
      <c r="K62">
        <v>46</v>
      </c>
    </row>
    <row r="63" spans="1:11">
      <c r="A63" t="s">
        <v>155</v>
      </c>
      <c r="B63" t="s">
        <v>108</v>
      </c>
      <c r="C63">
        <v>22</v>
      </c>
      <c r="D63" t="s">
        <v>13</v>
      </c>
      <c r="E63" t="s">
        <v>14</v>
      </c>
      <c r="F63" t="s">
        <v>40</v>
      </c>
      <c r="G63">
        <v>73</v>
      </c>
      <c r="H63" t="s">
        <v>32</v>
      </c>
      <c r="I63">
        <v>144</v>
      </c>
      <c r="J63">
        <v>70</v>
      </c>
      <c r="K63">
        <v>55</v>
      </c>
    </row>
    <row r="64" spans="1:11">
      <c r="A64" t="s">
        <v>156</v>
      </c>
      <c r="B64" t="s">
        <v>157</v>
      </c>
      <c r="C64">
        <v>23</v>
      </c>
      <c r="D64" t="s">
        <v>13</v>
      </c>
      <c r="E64" t="s">
        <v>14</v>
      </c>
      <c r="F64" t="s">
        <v>40</v>
      </c>
      <c r="G64">
        <v>90</v>
      </c>
      <c r="H64" t="s">
        <v>32</v>
      </c>
      <c r="I64">
        <v>160</v>
      </c>
      <c r="J64">
        <v>87</v>
      </c>
      <c r="K64">
        <v>73</v>
      </c>
    </row>
    <row r="65" spans="1:11">
      <c r="A65" t="s">
        <v>158</v>
      </c>
      <c r="B65" t="s">
        <v>85</v>
      </c>
      <c r="C65">
        <v>25</v>
      </c>
      <c r="D65" t="s">
        <v>13</v>
      </c>
      <c r="E65" t="s">
        <v>14</v>
      </c>
      <c r="F65" t="s">
        <v>40</v>
      </c>
      <c r="G65">
        <v>81</v>
      </c>
      <c r="H65" t="s">
        <v>32</v>
      </c>
      <c r="I65">
        <v>158</v>
      </c>
      <c r="J65">
        <v>85</v>
      </c>
      <c r="K65">
        <v>46</v>
      </c>
    </row>
    <row r="66" spans="1:11">
      <c r="A66" t="s">
        <v>159</v>
      </c>
      <c r="B66" t="s">
        <v>160</v>
      </c>
      <c r="C66">
        <v>27</v>
      </c>
      <c r="D66" t="s">
        <v>24</v>
      </c>
      <c r="E66" t="s">
        <v>20</v>
      </c>
      <c r="F66" t="s">
        <v>26</v>
      </c>
      <c r="G66">
        <v>85</v>
      </c>
      <c r="H66" t="s">
        <v>44</v>
      </c>
      <c r="I66">
        <v>156</v>
      </c>
      <c r="J66">
        <v>84</v>
      </c>
      <c r="K66">
        <v>68</v>
      </c>
    </row>
    <row r="67" spans="1:11">
      <c r="A67" t="s">
        <v>161</v>
      </c>
      <c r="B67" t="s">
        <v>162</v>
      </c>
      <c r="C67">
        <v>29</v>
      </c>
      <c r="D67" t="s">
        <v>24</v>
      </c>
      <c r="E67" t="s">
        <v>20</v>
      </c>
      <c r="F67" t="s">
        <v>26</v>
      </c>
      <c r="G67">
        <v>83</v>
      </c>
      <c r="H67" t="s">
        <v>44</v>
      </c>
      <c r="I67">
        <v>156</v>
      </c>
      <c r="J67">
        <v>81</v>
      </c>
      <c r="K67">
        <v>67</v>
      </c>
    </row>
    <row r="68" spans="1:11">
      <c r="A68" t="s">
        <v>163</v>
      </c>
      <c r="B68" t="s">
        <v>164</v>
      </c>
      <c r="C68">
        <v>31</v>
      </c>
      <c r="D68" t="s">
        <v>13</v>
      </c>
      <c r="E68" t="s">
        <v>165</v>
      </c>
      <c r="F68" t="s">
        <v>26</v>
      </c>
      <c r="G68">
        <v>89</v>
      </c>
      <c r="H68" t="s">
        <v>16</v>
      </c>
      <c r="I68">
        <v>160</v>
      </c>
      <c r="J68">
        <v>87</v>
      </c>
      <c r="K68">
        <v>61</v>
      </c>
    </row>
    <row r="69" spans="1:11">
      <c r="A69" t="s">
        <v>166</v>
      </c>
      <c r="B69" t="s">
        <v>167</v>
      </c>
      <c r="C69">
        <v>33</v>
      </c>
      <c r="D69" t="s">
        <v>24</v>
      </c>
      <c r="E69" t="s">
        <v>165</v>
      </c>
      <c r="F69" t="s">
        <v>26</v>
      </c>
      <c r="G69">
        <v>98</v>
      </c>
      <c r="H69" t="s">
        <v>16</v>
      </c>
      <c r="I69">
        <v>160</v>
      </c>
      <c r="J69">
        <v>87</v>
      </c>
      <c r="K69">
        <v>86</v>
      </c>
    </row>
    <row r="70" spans="1:11">
      <c r="A70" t="s">
        <v>168</v>
      </c>
      <c r="B70" t="s">
        <v>169</v>
      </c>
      <c r="C70">
        <v>35</v>
      </c>
      <c r="D70" t="s">
        <v>13</v>
      </c>
      <c r="E70" t="s">
        <v>170</v>
      </c>
      <c r="F70" t="s">
        <v>26</v>
      </c>
      <c r="G70">
        <v>69</v>
      </c>
      <c r="H70" t="s">
        <v>44</v>
      </c>
      <c r="I70">
        <v>144</v>
      </c>
      <c r="J70">
        <v>69</v>
      </c>
      <c r="K70">
        <v>45</v>
      </c>
    </row>
    <row r="71" spans="1:11">
      <c r="A71" t="s">
        <v>171</v>
      </c>
      <c r="B71" t="s">
        <v>172</v>
      </c>
      <c r="C71">
        <v>37</v>
      </c>
      <c r="D71" t="s">
        <v>24</v>
      </c>
      <c r="E71" t="s">
        <v>88</v>
      </c>
      <c r="F71" t="s">
        <v>15</v>
      </c>
      <c r="G71">
        <v>80</v>
      </c>
      <c r="H71" t="s">
        <v>44</v>
      </c>
      <c r="I71">
        <v>152</v>
      </c>
      <c r="J71">
        <v>78</v>
      </c>
      <c r="K71">
        <v>62</v>
      </c>
    </row>
    <row r="72" spans="1:11">
      <c r="A72" t="s">
        <v>56</v>
      </c>
      <c r="B72" t="s">
        <v>173</v>
      </c>
      <c r="C72">
        <v>39</v>
      </c>
      <c r="D72" t="s">
        <v>13</v>
      </c>
      <c r="E72" t="s">
        <v>58</v>
      </c>
      <c r="F72" t="s">
        <v>15</v>
      </c>
      <c r="G72">
        <v>81</v>
      </c>
      <c r="H72" t="s">
        <v>16</v>
      </c>
      <c r="I72">
        <v>160</v>
      </c>
      <c r="J72">
        <v>80</v>
      </c>
      <c r="K72">
        <v>71</v>
      </c>
    </row>
    <row r="73" spans="1:11">
      <c r="A73" t="s">
        <v>174</v>
      </c>
      <c r="B73" t="s">
        <v>175</v>
      </c>
      <c r="C73">
        <v>50</v>
      </c>
      <c r="D73" t="s">
        <v>24</v>
      </c>
      <c r="E73" t="s">
        <v>71</v>
      </c>
      <c r="F73" t="s">
        <v>15</v>
      </c>
      <c r="G73">
        <v>74</v>
      </c>
      <c r="H73" t="s">
        <v>16</v>
      </c>
      <c r="I73">
        <v>140</v>
      </c>
      <c r="J73">
        <v>63</v>
      </c>
      <c r="K73">
        <v>60</v>
      </c>
    </row>
    <row r="74" spans="1:11">
      <c r="A74" t="s">
        <v>176</v>
      </c>
      <c r="B74" t="s">
        <v>177</v>
      </c>
      <c r="C74">
        <v>43</v>
      </c>
      <c r="D74" t="s">
        <v>13</v>
      </c>
      <c r="E74" t="s">
        <v>170</v>
      </c>
      <c r="F74" t="s">
        <v>15</v>
      </c>
      <c r="G74">
        <v>80</v>
      </c>
      <c r="H74" t="s">
        <v>44</v>
      </c>
      <c r="I74">
        <v>150</v>
      </c>
      <c r="J74">
        <v>75</v>
      </c>
      <c r="K74">
        <v>43</v>
      </c>
    </row>
    <row r="75" spans="1:11">
      <c r="A75" t="s">
        <v>178</v>
      </c>
      <c r="B75" t="s">
        <v>179</v>
      </c>
      <c r="C75">
        <v>31</v>
      </c>
      <c r="D75" t="s">
        <v>24</v>
      </c>
      <c r="E75" t="s">
        <v>54</v>
      </c>
      <c r="F75" t="s">
        <v>26</v>
      </c>
      <c r="G75">
        <v>90</v>
      </c>
      <c r="H75" t="s">
        <v>16</v>
      </c>
      <c r="I75">
        <v>158</v>
      </c>
      <c r="J75">
        <v>84</v>
      </c>
      <c r="K75">
        <v>83</v>
      </c>
    </row>
    <row r="76" spans="1:11">
      <c r="A76" t="s">
        <v>180</v>
      </c>
      <c r="B76" t="s">
        <v>181</v>
      </c>
      <c r="C76">
        <v>33</v>
      </c>
      <c r="D76" t="s">
        <v>13</v>
      </c>
      <c r="E76" t="s">
        <v>124</v>
      </c>
      <c r="F76" t="s">
        <v>26</v>
      </c>
      <c r="G76">
        <v>96</v>
      </c>
      <c r="H76" t="s">
        <v>16</v>
      </c>
      <c r="I76">
        <v>158</v>
      </c>
      <c r="J76">
        <v>85</v>
      </c>
      <c r="K76">
        <v>90</v>
      </c>
    </row>
    <row r="77" spans="1:11">
      <c r="A77" t="s">
        <v>182</v>
      </c>
      <c r="B77" t="s">
        <v>183</v>
      </c>
      <c r="C77">
        <v>35</v>
      </c>
      <c r="D77" t="s">
        <v>24</v>
      </c>
      <c r="E77" t="s">
        <v>165</v>
      </c>
      <c r="F77" t="s">
        <v>26</v>
      </c>
      <c r="G77">
        <v>90</v>
      </c>
      <c r="H77" t="s">
        <v>16</v>
      </c>
      <c r="I77">
        <v>160</v>
      </c>
      <c r="J77">
        <v>87</v>
      </c>
      <c r="K77">
        <v>74</v>
      </c>
    </row>
    <row r="78" spans="1:11">
      <c r="A78" t="s">
        <v>184</v>
      </c>
      <c r="B78" t="s">
        <v>185</v>
      </c>
      <c r="C78">
        <v>31</v>
      </c>
      <c r="D78" t="s">
        <v>24</v>
      </c>
      <c r="E78" t="s">
        <v>140</v>
      </c>
      <c r="F78" t="s">
        <v>26</v>
      </c>
      <c r="G78">
        <v>35</v>
      </c>
      <c r="H78" t="s">
        <v>16</v>
      </c>
      <c r="I78">
        <v>144</v>
      </c>
      <c r="J78">
        <v>72</v>
      </c>
      <c r="K78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0C7D-522C-4927-A253-E681B85CECC3}">
  <dimension ref="A1:Q78"/>
  <sheetViews>
    <sheetView topLeftCell="B1" workbookViewId="0">
      <selection activeCell="P2" sqref="P2"/>
    </sheetView>
  </sheetViews>
  <sheetFormatPr defaultRowHeight="14.4"/>
  <cols>
    <col min="1" max="1" width="10.5546875" customWidth="1"/>
    <col min="2" max="2" width="11.21875" customWidth="1"/>
    <col min="3" max="3" width="17.88671875" customWidth="1"/>
    <col min="4" max="4" width="4" bestFit="1" customWidth="1"/>
    <col min="5" max="5" width="7" customWidth="1"/>
    <col min="6" max="6" width="14.33203125" customWidth="1"/>
    <col min="7" max="7" width="10.88671875" customWidth="1"/>
    <col min="8" max="8" width="12.44140625" customWidth="1"/>
    <col min="9" max="10" width="11.77734375" customWidth="1"/>
    <col min="11" max="11" width="9.5546875" bestFit="1" customWidth="1"/>
    <col min="12" max="12" width="12.44140625" customWidth="1"/>
    <col min="13" max="13" width="16.77734375" customWidth="1"/>
    <col min="14" max="14" width="11.21875" bestFit="1" customWidth="1"/>
    <col min="15" max="15" width="6.44140625" customWidth="1"/>
    <col min="16" max="16" width="11.109375" customWidth="1"/>
    <col min="17" max="17" width="4" bestFit="1" customWidth="1"/>
  </cols>
  <sheetData>
    <row r="1" spans="1:17">
      <c r="A1" t="s">
        <v>0</v>
      </c>
      <c r="B1" t="s">
        <v>1</v>
      </c>
      <c r="C1" s="1" t="s">
        <v>186</v>
      </c>
      <c r="D1" t="s">
        <v>2</v>
      </c>
      <c r="E1" t="s">
        <v>3</v>
      </c>
      <c r="F1" s="1" t="s">
        <v>191</v>
      </c>
      <c r="G1" t="s">
        <v>4</v>
      </c>
      <c r="H1" s="1" t="s">
        <v>187</v>
      </c>
      <c r="I1" t="s">
        <v>5</v>
      </c>
      <c r="J1" s="1" t="s">
        <v>188</v>
      </c>
      <c r="K1" t="s">
        <v>6</v>
      </c>
      <c r="L1" t="s">
        <v>7</v>
      </c>
      <c r="M1" s="1" t="s">
        <v>189</v>
      </c>
      <c r="N1" t="s">
        <v>8</v>
      </c>
      <c r="O1" t="s">
        <v>9</v>
      </c>
      <c r="P1" s="1" t="s">
        <v>190</v>
      </c>
      <c r="Q1" t="s">
        <v>10</v>
      </c>
    </row>
    <row r="2" spans="1:17">
      <c r="A2" t="s">
        <v>11</v>
      </c>
      <c r="B2" t="s">
        <v>12</v>
      </c>
      <c r="C2" t="str">
        <f>PROPER(CONCATENATE(A2," ",B2))</f>
        <v>Christina Binger</v>
      </c>
      <c r="D2">
        <v>44</v>
      </c>
      <c r="E2" t="s">
        <v>13</v>
      </c>
      <c r="F2" t="str" cm="1">
        <f t="array" ref="F2:F78">_xlfn.IFS(E2:E78 = "F","Female",E2:E78 = "M", "Male",TRUE,E2:E78)</f>
        <v>Female</v>
      </c>
      <c r="G2" t="s">
        <v>14</v>
      </c>
      <c r="H2" t="str" cm="1">
        <f t="array" ref="H2:H78" xml:space="preserve"> _xlfn.IFS(G2:G78 = "Rsa","South Africa", TRUE,G2:G78)</f>
        <v>Norway</v>
      </c>
      <c r="I2" t="s">
        <v>15</v>
      </c>
      <c r="J2" t="s">
        <v>15</v>
      </c>
      <c r="K2">
        <v>72</v>
      </c>
      <c r="L2" t="s">
        <v>16</v>
      </c>
      <c r="M2" t="str" cm="1">
        <f t="array" ref="M2">_xlfn.IFS(ISNUMBER(SEARCH("master",L2)),"Masters",ISNUMBER(SEARCH("bachelor",L2)),"Bachelors",ISNUMBER(SEARCH("diplom",L2)),"Diploma", ISNUMBER(SEARCH("high",L2)),"High School",ISNUMBER(SEARCH("doctor",L2)),"Doctorate",TRUE, L2)</f>
        <v>Masters</v>
      </c>
      <c r="N2">
        <v>158</v>
      </c>
      <c r="O2">
        <v>59</v>
      </c>
      <c r="P2" cm="1">
        <f t="array" ref="P2:P78">IF(O2:O78 = " ", "Not applicable",O2:O78)</f>
        <v>59</v>
      </c>
      <c r="Q2">
        <v>55</v>
      </c>
    </row>
    <row r="3" spans="1:17">
      <c r="A3" t="s">
        <v>17</v>
      </c>
      <c r="B3" t="s">
        <v>18</v>
      </c>
      <c r="C3" t="str">
        <f t="shared" ref="C3:C66" si="0">PROPER(CONCATENATE(A3," ",B3))</f>
        <v>Alex Walekhwa</v>
      </c>
      <c r="D3">
        <v>60</v>
      </c>
      <c r="E3" t="s">
        <v>19</v>
      </c>
      <c r="F3" t="str">
        <v>Male</v>
      </c>
      <c r="G3" t="s">
        <v>20</v>
      </c>
      <c r="H3" t="str">
        <v>Kenya</v>
      </c>
      <c r="I3" t="s">
        <v>15</v>
      </c>
      <c r="J3" t="s">
        <v>15</v>
      </c>
      <c r="K3">
        <v>79</v>
      </c>
      <c r="L3" t="s">
        <v>21</v>
      </c>
      <c r="M3" t="str" cm="1">
        <f t="array" ref="M3">_xlfn.IFS(ISNUMBER(SEARCH("master",L3)),"Masters",ISNUMBER(SEARCH("bachelor",L3)),"Bachelors",ISNUMBER(SEARCH("diplom",L3)),"Diploma", ISNUMBER(SEARCH("high",L3)),"High School",ISNUMBER(SEARCH("doctor",L3)),"Doctorate",TRUE, L3)</f>
        <v>Diploma</v>
      </c>
      <c r="N3">
        <v>150</v>
      </c>
      <c r="O3">
        <v>60</v>
      </c>
      <c r="P3">
        <v>60</v>
      </c>
      <c r="Q3">
        <v>75</v>
      </c>
    </row>
    <row r="4" spans="1:17">
      <c r="A4" t="s">
        <v>22</v>
      </c>
      <c r="B4" t="s">
        <v>23</v>
      </c>
      <c r="C4" t="str">
        <f t="shared" si="0"/>
        <v>Philip Leo</v>
      </c>
      <c r="D4">
        <v>25</v>
      </c>
      <c r="E4" t="s">
        <v>24</v>
      </c>
      <c r="F4" t="str">
        <v>Male</v>
      </c>
      <c r="G4" t="s">
        <v>25</v>
      </c>
      <c r="H4" t="str">
        <v>Uganda</v>
      </c>
      <c r="I4" t="s">
        <v>26</v>
      </c>
      <c r="J4" t="s">
        <v>26</v>
      </c>
      <c r="K4">
        <v>55</v>
      </c>
      <c r="L4" t="s">
        <v>27</v>
      </c>
      <c r="M4" t="str" cm="1">
        <f t="array" ref="M4">_xlfn.IFS(ISNUMBER(SEARCH("master",L4)),"Masters",ISNUMBER(SEARCH("bachelor",L4)),"Bachelors",ISNUMBER(SEARCH("diplom",L4)),"Diploma", ISNUMBER(SEARCH("high",L4)),"High School",ISNUMBER(SEARCH("doctor",L4)),"Doctorate",TRUE, L4)</f>
        <v>High School</v>
      </c>
      <c r="N4">
        <v>130</v>
      </c>
      <c r="O4">
        <v>74</v>
      </c>
      <c r="P4">
        <v>74</v>
      </c>
      <c r="Q4">
        <v>50</v>
      </c>
    </row>
    <row r="5" spans="1:17">
      <c r="A5" t="s">
        <v>28</v>
      </c>
      <c r="B5" t="s">
        <v>29</v>
      </c>
      <c r="C5" t="str">
        <f t="shared" si="0"/>
        <v>Shoni Hlongwane</v>
      </c>
      <c r="D5">
        <v>22</v>
      </c>
      <c r="E5" t="s">
        <v>30</v>
      </c>
      <c r="F5" t="str">
        <v>Female</v>
      </c>
      <c r="G5" t="s">
        <v>31</v>
      </c>
      <c r="H5" t="str">
        <v>South Africa</v>
      </c>
      <c r="I5" t="s">
        <v>26</v>
      </c>
      <c r="J5" t="s">
        <v>26</v>
      </c>
      <c r="K5">
        <v>40</v>
      </c>
      <c r="L5" t="s">
        <v>32</v>
      </c>
      <c r="M5" t="str" cm="1">
        <f t="array" ref="M5">_xlfn.IFS(ISNUMBER(SEARCH("master",L5)),"Masters",ISNUMBER(SEARCH("bachelor",L5)),"Bachelors",ISNUMBER(SEARCH("diplom",L5)),"Diploma", ISNUMBER(SEARCH("high",L5)),"High School",ISNUMBER(SEARCH("doctor",L5)),"Doctorate",TRUE, L5)</f>
        <v>High School</v>
      </c>
      <c r="N5">
        <v>120</v>
      </c>
      <c r="P5">
        <v>0</v>
      </c>
      <c r="Q5">
        <v>44</v>
      </c>
    </row>
    <row r="6" spans="1:17">
      <c r="A6" t="s">
        <v>33</v>
      </c>
      <c r="B6" t="s">
        <v>34</v>
      </c>
      <c r="C6" t="str">
        <f t="shared" si="0"/>
        <v>Maria Kedibone</v>
      </c>
      <c r="D6">
        <v>23</v>
      </c>
      <c r="E6" t="s">
        <v>13</v>
      </c>
      <c r="F6" t="str">
        <v>Female</v>
      </c>
      <c r="G6" t="s">
        <v>35</v>
      </c>
      <c r="H6" t="str">
        <v>South Africa</v>
      </c>
      <c r="I6" t="s">
        <v>26</v>
      </c>
      <c r="J6" t="s">
        <v>26</v>
      </c>
      <c r="K6">
        <v>65</v>
      </c>
      <c r="L6" t="s">
        <v>32</v>
      </c>
      <c r="M6" t="str" cm="1">
        <f t="array" ref="M6">_xlfn.IFS(ISNUMBER(SEARCH("master",L6)),"Masters",ISNUMBER(SEARCH("bachelor",L6)),"Bachelors",ISNUMBER(SEARCH("diplom",L6)),"Diploma", ISNUMBER(SEARCH("high",L6)),"High School",ISNUMBER(SEARCH("doctor",L6)),"Doctorate",TRUE, L6)</f>
        <v>High School</v>
      </c>
      <c r="N6">
        <v>122</v>
      </c>
      <c r="O6">
        <v>91</v>
      </c>
      <c r="P6">
        <v>91</v>
      </c>
      <c r="Q6">
        <v>80</v>
      </c>
    </row>
    <row r="7" spans="1:17">
      <c r="A7" t="s">
        <v>36</v>
      </c>
      <c r="B7" t="s">
        <v>37</v>
      </c>
      <c r="C7" t="str">
        <f t="shared" si="0"/>
        <v>Hannah Hansen</v>
      </c>
      <c r="D7">
        <v>25</v>
      </c>
      <c r="E7" t="s">
        <v>38</v>
      </c>
      <c r="F7" t="str">
        <v>female</v>
      </c>
      <c r="G7" t="s">
        <v>39</v>
      </c>
      <c r="H7" t="str">
        <v>Norge</v>
      </c>
      <c r="I7" t="s">
        <v>40</v>
      </c>
      <c r="J7" t="s">
        <v>40</v>
      </c>
      <c r="K7">
        <v>66</v>
      </c>
      <c r="L7" t="s">
        <v>32</v>
      </c>
      <c r="M7" t="str" cm="1">
        <f t="array" ref="M7">_xlfn.IFS(ISNUMBER(SEARCH("master",L7)),"Masters",ISNUMBER(SEARCH("bachelor",L7)),"Bachelors",ISNUMBER(SEARCH("diplom",L7)),"Diploma", ISNUMBER(SEARCH("high",L7)),"High School",ISNUMBER(SEARCH("doctor",L7)),"Doctorate",TRUE, L7)</f>
        <v>High School</v>
      </c>
      <c r="N7">
        <v>130</v>
      </c>
      <c r="O7">
        <v>88</v>
      </c>
      <c r="P7">
        <v>88</v>
      </c>
      <c r="Q7">
        <v>59</v>
      </c>
    </row>
    <row r="8" spans="1:17">
      <c r="A8" t="s">
        <v>41</v>
      </c>
      <c r="B8" t="s">
        <v>42</v>
      </c>
      <c r="C8" t="str">
        <f t="shared" si="0"/>
        <v>Ole Johansen</v>
      </c>
      <c r="D8">
        <v>27</v>
      </c>
      <c r="E8" t="s">
        <v>24</v>
      </c>
      <c r="F8" t="str">
        <v>Male</v>
      </c>
      <c r="G8" t="s">
        <v>14</v>
      </c>
      <c r="H8" t="str">
        <v>Norway</v>
      </c>
      <c r="I8" t="s">
        <v>43</v>
      </c>
      <c r="J8" t="s">
        <v>40</v>
      </c>
      <c r="K8">
        <v>90</v>
      </c>
      <c r="L8" t="s">
        <v>44</v>
      </c>
      <c r="M8" t="str" cm="1">
        <f t="array" ref="M8">_xlfn.IFS(ISNUMBER(SEARCH("master",L8)),"Masters",ISNUMBER(SEARCH("bachelor",L8)),"Bachelors",ISNUMBER(SEARCH("diplom",L8)),"Diploma", ISNUMBER(SEARCH("high",L8)),"High School",ISNUMBER(SEARCH("doctor",L8)),"Doctorate",TRUE, L8)</f>
        <v>Bachelors</v>
      </c>
      <c r="N8">
        <v>156</v>
      </c>
      <c r="O8">
        <v>80</v>
      </c>
      <c r="P8">
        <v>80</v>
      </c>
      <c r="Q8">
        <v>91</v>
      </c>
    </row>
    <row r="9" spans="1:17">
      <c r="A9" t="s">
        <v>45</v>
      </c>
      <c r="B9" t="s">
        <v>46</v>
      </c>
      <c r="C9" t="str">
        <f t="shared" si="0"/>
        <v>Lars Olsen</v>
      </c>
      <c r="D9">
        <v>29</v>
      </c>
      <c r="E9" t="s">
        <v>24</v>
      </c>
      <c r="F9" t="str">
        <v>Male</v>
      </c>
      <c r="G9" t="s">
        <v>47</v>
      </c>
      <c r="H9" t="str">
        <v>norway</v>
      </c>
      <c r="I9" t="s">
        <v>48</v>
      </c>
      <c r="J9" t="s">
        <v>40</v>
      </c>
      <c r="K9">
        <v>89</v>
      </c>
      <c r="L9" t="s">
        <v>49</v>
      </c>
      <c r="M9" t="str" cm="1">
        <f t="array" ref="M9">_xlfn.IFS(ISNUMBER(SEARCH("master",L9)),"Masters",ISNUMBER(SEARCH("bachelor",L9)),"Bachelors",ISNUMBER(SEARCH("diplom",L9)),"Diploma", ISNUMBER(SEARCH("high",L9)),"High School",ISNUMBER(SEARCH("doctor",L9)),"Doctorate",TRUE, L9)</f>
        <v>Barrrchelors</v>
      </c>
      <c r="N9">
        <v>160</v>
      </c>
      <c r="O9">
        <v>85</v>
      </c>
      <c r="P9">
        <v>85</v>
      </c>
      <c r="Q9">
        <v>60</v>
      </c>
    </row>
    <row r="10" spans="1:17">
      <c r="A10" t="s">
        <v>50</v>
      </c>
      <c r="B10" t="s">
        <v>51</v>
      </c>
      <c r="C10" t="str">
        <f t="shared" si="0"/>
        <v>Bjørn Larsen</v>
      </c>
      <c r="D10">
        <v>31</v>
      </c>
      <c r="E10" t="s">
        <v>24</v>
      </c>
      <c r="F10" t="str">
        <v>Male</v>
      </c>
      <c r="G10" t="s">
        <v>14</v>
      </c>
      <c r="H10" t="str">
        <v>Norway</v>
      </c>
      <c r="I10" t="s">
        <v>40</v>
      </c>
      <c r="J10" t="s">
        <v>40</v>
      </c>
      <c r="K10">
        <v>88</v>
      </c>
      <c r="L10" t="s">
        <v>44</v>
      </c>
      <c r="M10" t="str" cm="1">
        <f t="array" ref="M10">_xlfn.IFS(ISNUMBER(SEARCH("master",L10)),"Masters",ISNUMBER(SEARCH("bachelor",L10)),"Bachelors",ISNUMBER(SEARCH("diplom",L10)),"Diploma", ISNUMBER(SEARCH("high",L10)),"High School",ISNUMBER(SEARCH("doctor",L10)),"Doctorate",TRUE, L10)</f>
        <v>Bachelors</v>
      </c>
      <c r="N10">
        <v>156</v>
      </c>
      <c r="O10">
        <v>80</v>
      </c>
      <c r="P10">
        <v>80</v>
      </c>
      <c r="Q10">
        <v>89</v>
      </c>
    </row>
    <row r="11" spans="1:17">
      <c r="A11" t="s">
        <v>52</v>
      </c>
      <c r="B11" t="s">
        <v>53</v>
      </c>
      <c r="C11" t="str">
        <f t="shared" si="0"/>
        <v>Sofie Jensen</v>
      </c>
      <c r="D11">
        <v>33</v>
      </c>
      <c r="E11" t="s">
        <v>13</v>
      </c>
      <c r="F11" t="str">
        <v>Female</v>
      </c>
      <c r="G11" t="s">
        <v>54</v>
      </c>
      <c r="H11" t="str">
        <v>Denmark</v>
      </c>
      <c r="I11" t="s">
        <v>55</v>
      </c>
      <c r="J11" t="s">
        <v>40</v>
      </c>
      <c r="K11">
        <v>85</v>
      </c>
      <c r="L11" t="s">
        <v>44</v>
      </c>
      <c r="M11" t="str" cm="1">
        <f t="array" ref="M11">_xlfn.IFS(ISNUMBER(SEARCH("master",L11)),"Masters",ISNUMBER(SEARCH("bachelor",L11)),"Bachelors",ISNUMBER(SEARCH("diplom",L11)),"Diploma", ISNUMBER(SEARCH("high",L11)),"High School",ISNUMBER(SEARCH("doctor",L11)),"Doctorate",TRUE, L11)</f>
        <v>Bachelors</v>
      </c>
      <c r="N11">
        <v>160</v>
      </c>
      <c r="O11">
        <v>83</v>
      </c>
      <c r="P11">
        <v>83</v>
      </c>
      <c r="Q11">
        <v>90</v>
      </c>
    </row>
    <row r="12" spans="1:17">
      <c r="A12" t="s">
        <v>56</v>
      </c>
      <c r="B12" t="s">
        <v>57</v>
      </c>
      <c r="C12" t="str">
        <f t="shared" si="0"/>
        <v>Emma De Vries</v>
      </c>
      <c r="D12">
        <v>34</v>
      </c>
      <c r="E12" t="s">
        <v>13</v>
      </c>
      <c r="F12" t="str">
        <v>Female</v>
      </c>
      <c r="G12" t="s">
        <v>58</v>
      </c>
      <c r="H12" t="str">
        <v>Netherlands</v>
      </c>
      <c r="I12" t="s">
        <v>40</v>
      </c>
      <c r="J12" t="s">
        <v>40</v>
      </c>
      <c r="K12">
        <v>65</v>
      </c>
      <c r="L12" t="s">
        <v>44</v>
      </c>
      <c r="M12" t="str" cm="1">
        <f t="array" ref="M12">_xlfn.IFS(ISNUMBER(SEARCH("master",L12)),"Masters",ISNUMBER(SEARCH("bachelor",L12)),"Bachelors",ISNUMBER(SEARCH("diplom",L12)),"Diploma", ISNUMBER(SEARCH("high",L12)),"High School",ISNUMBER(SEARCH("doctor",L12)),"Doctorate",TRUE, L12)</f>
        <v>Bachelors</v>
      </c>
      <c r="N12">
        <v>156</v>
      </c>
      <c r="O12">
        <v>79</v>
      </c>
      <c r="P12">
        <v>79</v>
      </c>
      <c r="Q12">
        <v>58</v>
      </c>
    </row>
    <row r="13" spans="1:17">
      <c r="A13" t="s">
        <v>59</v>
      </c>
      <c r="B13" t="s">
        <v>60</v>
      </c>
      <c r="C13" t="str">
        <f t="shared" si="0"/>
        <v>Solveig Eliassen</v>
      </c>
      <c r="D13">
        <v>36</v>
      </c>
      <c r="E13" t="s">
        <v>13</v>
      </c>
      <c r="F13" t="str">
        <v>Female</v>
      </c>
      <c r="G13" t="s">
        <v>14</v>
      </c>
      <c r="H13" t="str">
        <v>Norway</v>
      </c>
      <c r="I13" t="s">
        <v>15</v>
      </c>
      <c r="J13" t="s">
        <v>15</v>
      </c>
      <c r="K13">
        <v>70</v>
      </c>
      <c r="L13" t="s">
        <v>61</v>
      </c>
      <c r="M13" t="str" cm="1">
        <f t="array" ref="M13">_xlfn.IFS(ISNUMBER(SEARCH("master",L13)),"Masters",ISNUMBER(SEARCH("bachelor",L13)),"Bachelors",ISNUMBER(SEARCH("diplom",L13)),"Diploma", ISNUMBER(SEARCH("high",L13)),"High School",ISNUMBER(SEARCH("doctor",L13)),"Doctorate",TRUE, L13)</f>
        <v>Diploma</v>
      </c>
      <c r="N13">
        <v>156</v>
      </c>
      <c r="O13">
        <v>80</v>
      </c>
      <c r="P13">
        <v>80</v>
      </c>
      <c r="Q13">
        <v>55</v>
      </c>
    </row>
    <row r="14" spans="1:17">
      <c r="A14" t="s">
        <v>62</v>
      </c>
      <c r="B14" t="s">
        <v>63</v>
      </c>
      <c r="C14" t="str">
        <f t="shared" si="0"/>
        <v>Odd Knudsen</v>
      </c>
      <c r="D14">
        <v>38</v>
      </c>
      <c r="E14" t="s">
        <v>64</v>
      </c>
      <c r="F14" t="str">
        <v>male</v>
      </c>
      <c r="G14" t="s">
        <v>14</v>
      </c>
      <c r="H14" t="str">
        <v>Norway</v>
      </c>
      <c r="I14" t="s">
        <v>15</v>
      </c>
      <c r="J14" t="s">
        <v>15</v>
      </c>
      <c r="K14">
        <v>91</v>
      </c>
      <c r="L14" t="s">
        <v>65</v>
      </c>
      <c r="M14" t="str" cm="1">
        <f t="array" ref="M14">_xlfn.IFS(ISNUMBER(SEARCH("master",L14)),"Masters",ISNUMBER(SEARCH("bachelor",L14)),"Bachelors",ISNUMBER(SEARCH("diplom",L14)),"Diploma", ISNUMBER(SEARCH("high",L14)),"High School",ISNUMBER(SEARCH("doctor",L14)),"Doctorate",TRUE, L14)</f>
        <v>Diploma</v>
      </c>
      <c r="N14">
        <v>156</v>
      </c>
      <c r="O14">
        <v>85</v>
      </c>
      <c r="P14">
        <v>85</v>
      </c>
      <c r="Q14">
        <v>99</v>
      </c>
    </row>
    <row r="15" spans="1:17">
      <c r="A15" t="s">
        <v>66</v>
      </c>
      <c r="B15" t="s">
        <v>67</v>
      </c>
      <c r="C15" t="str">
        <f t="shared" si="0"/>
        <v>Grethe Myklebust</v>
      </c>
      <c r="D15">
        <v>40</v>
      </c>
      <c r="E15" t="s">
        <v>13</v>
      </c>
      <c r="F15" t="str">
        <v>Female</v>
      </c>
      <c r="G15" t="s">
        <v>14</v>
      </c>
      <c r="H15" t="str">
        <v>Norway</v>
      </c>
      <c r="I15" t="s">
        <v>15</v>
      </c>
      <c r="J15" t="s">
        <v>15</v>
      </c>
      <c r="K15">
        <v>77</v>
      </c>
      <c r="L15" t="s">
        <v>68</v>
      </c>
      <c r="M15" t="str" cm="1">
        <f t="array" ref="M15">_xlfn.IFS(ISNUMBER(SEARCH("master",L15)),"Masters",ISNUMBER(SEARCH("bachelor",L15)),"Bachelors",ISNUMBER(SEARCH("diplom",L15)),"Diploma", ISNUMBER(SEARCH("high",L15)),"High School",ISNUMBER(SEARCH("doctor",L15)),"Doctorate",TRUE, L15)</f>
        <v>Diploma</v>
      </c>
      <c r="N15">
        <v>144</v>
      </c>
      <c r="O15">
        <v>70</v>
      </c>
      <c r="P15">
        <v>70</v>
      </c>
      <c r="Q15">
        <v>76</v>
      </c>
    </row>
    <row r="16" spans="1:17">
      <c r="A16" t="s">
        <v>69</v>
      </c>
      <c r="B16" t="s">
        <v>70</v>
      </c>
      <c r="C16" t="str">
        <f t="shared" si="0"/>
        <v>Marco Rossi</v>
      </c>
      <c r="D16">
        <v>42</v>
      </c>
      <c r="E16" t="s">
        <v>24</v>
      </c>
      <c r="F16" t="str">
        <v>Male</v>
      </c>
      <c r="G16" t="s">
        <v>71</v>
      </c>
      <c r="H16" t="str">
        <v>Italy</v>
      </c>
      <c r="I16" t="s">
        <v>15</v>
      </c>
      <c r="J16" t="s">
        <v>15</v>
      </c>
      <c r="K16">
        <v>80</v>
      </c>
      <c r="L16" t="s">
        <v>44</v>
      </c>
      <c r="M16" t="str" cm="1">
        <f t="array" ref="M16">_xlfn.IFS(ISNUMBER(SEARCH("master",L16)),"Masters",ISNUMBER(SEARCH("bachelor",L16)),"Bachelors",ISNUMBER(SEARCH("diplom",L16)),"Diploma", ISNUMBER(SEARCH("high",L16)),"High School",ISNUMBER(SEARCH("doctor",L16)),"Doctorate",TRUE, L16)</f>
        <v>Bachelors</v>
      </c>
      <c r="N16">
        <v>152</v>
      </c>
      <c r="O16">
        <v>75</v>
      </c>
      <c r="P16">
        <v>75</v>
      </c>
      <c r="Q16">
        <v>77</v>
      </c>
    </row>
    <row r="17" spans="1:17">
      <c r="A17" t="s">
        <v>72</v>
      </c>
      <c r="B17" t="s">
        <v>73</v>
      </c>
      <c r="C17" t="str">
        <f t="shared" si="0"/>
        <v>Ingrid Eide</v>
      </c>
      <c r="D17">
        <v>43</v>
      </c>
      <c r="E17" t="s">
        <v>13</v>
      </c>
      <c r="F17" t="str">
        <v>Female</v>
      </c>
      <c r="G17" t="s">
        <v>14</v>
      </c>
      <c r="H17" t="str">
        <v>Norway</v>
      </c>
      <c r="I17" t="s">
        <v>15</v>
      </c>
      <c r="J17" t="s">
        <v>15</v>
      </c>
      <c r="K17">
        <v>81</v>
      </c>
      <c r="L17" t="s">
        <v>44</v>
      </c>
      <c r="M17" t="str" cm="1">
        <f t="array" ref="M17">_xlfn.IFS(ISNUMBER(SEARCH("master",L17)),"Masters",ISNUMBER(SEARCH("bachelor",L17)),"Bachelors",ISNUMBER(SEARCH("diplom",L17)),"Diploma", ISNUMBER(SEARCH("high",L17)),"High School",ISNUMBER(SEARCH("doctor",L17)),"Doctorate",TRUE, L17)</f>
        <v>Bachelors</v>
      </c>
      <c r="N17">
        <v>156</v>
      </c>
      <c r="O17">
        <v>80</v>
      </c>
      <c r="P17">
        <v>80</v>
      </c>
      <c r="Q17">
        <v>82</v>
      </c>
    </row>
    <row r="18" spans="1:17">
      <c r="A18" t="s">
        <v>74</v>
      </c>
      <c r="B18" t="s">
        <v>75</v>
      </c>
      <c r="C18" t="str">
        <f t="shared" si="0"/>
        <v>Hanna Andresen</v>
      </c>
      <c r="D18">
        <v>45</v>
      </c>
      <c r="E18" t="s">
        <v>13</v>
      </c>
      <c r="F18" t="str">
        <v>Female</v>
      </c>
      <c r="G18" t="s">
        <v>14</v>
      </c>
      <c r="H18" t="str">
        <v>Norway</v>
      </c>
      <c r="I18" t="s">
        <v>15</v>
      </c>
      <c r="J18" t="s">
        <v>15</v>
      </c>
      <c r="K18">
        <v>85</v>
      </c>
      <c r="L18" t="s">
        <v>44</v>
      </c>
      <c r="M18" t="str" cm="1">
        <f t="array" ref="M18">_xlfn.IFS(ISNUMBER(SEARCH("master",L18)),"Masters",ISNUMBER(SEARCH("bachelor",L18)),"Bachelors",ISNUMBER(SEARCH("diplom",L18)),"Diploma", ISNUMBER(SEARCH("high",L18)),"High School",ISNUMBER(SEARCH("doctor",L18)),"Doctorate",TRUE, L18)</f>
        <v>Bachelors</v>
      </c>
      <c r="N18">
        <v>156</v>
      </c>
      <c r="O18">
        <v>87</v>
      </c>
      <c r="P18">
        <v>87</v>
      </c>
      <c r="Q18">
        <v>82</v>
      </c>
    </row>
    <row r="19" spans="1:17">
      <c r="A19" t="s">
        <v>76</v>
      </c>
      <c r="B19" t="s">
        <v>60</v>
      </c>
      <c r="C19" t="str">
        <f t="shared" si="0"/>
        <v>Jorunn Eliassen</v>
      </c>
      <c r="D19">
        <v>47</v>
      </c>
      <c r="E19" t="s">
        <v>13</v>
      </c>
      <c r="F19" t="str">
        <v>Female</v>
      </c>
      <c r="G19" t="s">
        <v>14</v>
      </c>
      <c r="H19" t="str">
        <v>Norway</v>
      </c>
      <c r="I19" t="s">
        <v>15</v>
      </c>
      <c r="J19" t="s">
        <v>15</v>
      </c>
      <c r="K19">
        <v>86</v>
      </c>
      <c r="L19" t="s">
        <v>44</v>
      </c>
      <c r="M19" t="str" cm="1">
        <f t="array" ref="M19">_xlfn.IFS(ISNUMBER(SEARCH("master",L19)),"Masters",ISNUMBER(SEARCH("bachelor",L19)),"Bachelors",ISNUMBER(SEARCH("diplom",L19)),"Diploma", ISNUMBER(SEARCH("high",L19)),"High School",ISNUMBER(SEARCH("doctor",L19)),"Doctorate",TRUE, L19)</f>
        <v>Bachelors</v>
      </c>
      <c r="N19">
        <v>156</v>
      </c>
      <c r="O19">
        <v>80</v>
      </c>
      <c r="P19">
        <v>80</v>
      </c>
      <c r="Q19">
        <v>78</v>
      </c>
    </row>
    <row r="20" spans="1:17">
      <c r="A20" t="s">
        <v>77</v>
      </c>
      <c r="B20" t="s">
        <v>78</v>
      </c>
      <c r="C20" t="str">
        <f t="shared" si="0"/>
        <v>Sebastian Kristiansen</v>
      </c>
      <c r="D20">
        <v>48</v>
      </c>
      <c r="E20" t="s">
        <v>24</v>
      </c>
      <c r="F20" t="str">
        <v>Male</v>
      </c>
      <c r="G20" t="s">
        <v>14</v>
      </c>
      <c r="H20" t="str">
        <v>Norway</v>
      </c>
      <c r="I20" t="s">
        <v>15</v>
      </c>
      <c r="J20" t="s">
        <v>15</v>
      </c>
      <c r="K20">
        <v>75</v>
      </c>
      <c r="L20" t="s">
        <v>44</v>
      </c>
      <c r="M20" t="str" cm="1">
        <f t="array" ref="M20">_xlfn.IFS(ISNUMBER(SEARCH("master",L20)),"Masters",ISNUMBER(SEARCH("bachelor",L20)),"Bachelors",ISNUMBER(SEARCH("diplom",L20)),"Diploma", ISNUMBER(SEARCH("high",L20)),"High School",ISNUMBER(SEARCH("doctor",L20)),"Doctorate",TRUE, L20)</f>
        <v>Bachelors</v>
      </c>
      <c r="N20">
        <v>148</v>
      </c>
      <c r="O20">
        <v>76</v>
      </c>
      <c r="P20">
        <v>76</v>
      </c>
      <c r="Q20">
        <v>73</v>
      </c>
    </row>
    <row r="21" spans="1:17">
      <c r="A21" t="s">
        <v>79</v>
      </c>
      <c r="B21" t="s">
        <v>80</v>
      </c>
      <c r="C21" t="str">
        <f t="shared" si="0"/>
        <v>Camilla Mikkelsen</v>
      </c>
      <c r="D21">
        <v>50</v>
      </c>
      <c r="E21" t="s">
        <v>13</v>
      </c>
      <c r="F21" t="str">
        <v>Female</v>
      </c>
      <c r="G21" t="s">
        <v>14</v>
      </c>
      <c r="H21" t="str">
        <v>Norway</v>
      </c>
      <c r="I21" t="s">
        <v>15</v>
      </c>
      <c r="J21" t="s">
        <v>15</v>
      </c>
      <c r="K21">
        <v>95</v>
      </c>
      <c r="L21" t="s">
        <v>16</v>
      </c>
      <c r="M21" t="str" cm="1">
        <f t="array" ref="M21">_xlfn.IFS(ISNUMBER(SEARCH("master",L21)),"Masters",ISNUMBER(SEARCH("bachelor",L21)),"Bachelors",ISNUMBER(SEARCH("diplom",L21)),"Diploma", ISNUMBER(SEARCH("high",L21)),"High School",ISNUMBER(SEARCH("doctor",L21)),"Doctorate",TRUE, L21)</f>
        <v>Masters</v>
      </c>
      <c r="N21">
        <v>160</v>
      </c>
      <c r="O21">
        <v>84</v>
      </c>
      <c r="P21">
        <v>84</v>
      </c>
      <c r="Q21">
        <v>90</v>
      </c>
    </row>
    <row r="22" spans="1:17">
      <c r="A22" t="s">
        <v>81</v>
      </c>
      <c r="B22" t="s">
        <v>82</v>
      </c>
      <c r="C22" t="str">
        <f t="shared" si="0"/>
        <v>Prof Birkeland</v>
      </c>
      <c r="D22">
        <v>22</v>
      </c>
      <c r="E22" t="s">
        <v>24</v>
      </c>
      <c r="F22" t="str">
        <v>Male</v>
      </c>
      <c r="G22" t="s">
        <v>14</v>
      </c>
      <c r="H22" t="str">
        <v>Norway</v>
      </c>
      <c r="I22" t="s">
        <v>40</v>
      </c>
      <c r="J22" t="s">
        <v>40</v>
      </c>
      <c r="K22">
        <v>45</v>
      </c>
      <c r="L22" t="s">
        <v>32</v>
      </c>
      <c r="M22" t="str" cm="1">
        <f t="array" ref="M22">_xlfn.IFS(ISNUMBER(SEARCH("master",L22)),"Masters",ISNUMBER(SEARCH("bachelor",L22)),"Bachelors",ISNUMBER(SEARCH("diplom",L22)),"Diploma", ISNUMBER(SEARCH("high",L22)),"High School",ISNUMBER(SEARCH("doctor",L22)),"Doctorate",TRUE, L22)</f>
        <v>High School</v>
      </c>
      <c r="N22">
        <v>116</v>
      </c>
      <c r="O22">
        <v>33</v>
      </c>
      <c r="P22">
        <v>33</v>
      </c>
      <c r="Q22">
        <v>30</v>
      </c>
    </row>
    <row r="23" spans="1:17">
      <c r="A23" t="s">
        <v>74</v>
      </c>
      <c r="B23" t="s">
        <v>83</v>
      </c>
      <c r="C23" t="str">
        <f t="shared" si="0"/>
        <v>Hanna Isaksen</v>
      </c>
      <c r="D23">
        <v>24</v>
      </c>
      <c r="E23" t="s">
        <v>13</v>
      </c>
      <c r="F23" t="str">
        <v>Female</v>
      </c>
      <c r="G23" t="s">
        <v>14</v>
      </c>
      <c r="H23" t="str">
        <v>Norway</v>
      </c>
      <c r="I23" t="s">
        <v>40</v>
      </c>
      <c r="J23" t="s">
        <v>40</v>
      </c>
      <c r="K23">
        <v>50</v>
      </c>
      <c r="L23" t="s">
        <v>32</v>
      </c>
      <c r="M23" t="str" cm="1">
        <f t="array" ref="M23">_xlfn.IFS(ISNUMBER(SEARCH("master",L23)),"Masters",ISNUMBER(SEARCH("bachelor",L23)),"Bachelors",ISNUMBER(SEARCH("diplom",L23)),"Diploma", ISNUMBER(SEARCH("high",L23)),"High School",ISNUMBER(SEARCH("doctor",L23)),"Doctorate",TRUE, L23)</f>
        <v>High School</v>
      </c>
      <c r="N23">
        <v>114</v>
      </c>
      <c r="O23">
        <v>30</v>
      </c>
      <c r="P23">
        <v>30</v>
      </c>
      <c r="Q23">
        <v>50</v>
      </c>
    </row>
    <row r="24" spans="1:17">
      <c r="A24" t="s">
        <v>84</v>
      </c>
      <c r="B24" t="s">
        <v>85</v>
      </c>
      <c r="C24" t="str">
        <f t="shared" si="0"/>
        <v>Kristine Berg</v>
      </c>
      <c r="D24">
        <v>26</v>
      </c>
      <c r="E24" t="s">
        <v>13</v>
      </c>
      <c r="F24" t="str">
        <v>Female</v>
      </c>
      <c r="G24" t="s">
        <v>14</v>
      </c>
      <c r="H24" t="str">
        <v>Norway</v>
      </c>
      <c r="I24" t="s">
        <v>40</v>
      </c>
      <c r="J24" t="s">
        <v>40</v>
      </c>
      <c r="K24">
        <v>55</v>
      </c>
      <c r="L24" t="s">
        <v>32</v>
      </c>
      <c r="M24" t="str" cm="1">
        <f t="array" ref="M24">_xlfn.IFS(ISNUMBER(SEARCH("master",L24)),"Masters",ISNUMBER(SEARCH("bachelor",L24)),"Bachelors",ISNUMBER(SEARCH("diplom",L24)),"Diploma", ISNUMBER(SEARCH("high",L24)),"High School",ISNUMBER(SEARCH("doctor",L24)),"Doctorate",TRUE, L24)</f>
        <v>High School</v>
      </c>
      <c r="N24">
        <v>140</v>
      </c>
      <c r="O24">
        <v>61</v>
      </c>
      <c r="P24">
        <v>61</v>
      </c>
      <c r="Q24">
        <v>56</v>
      </c>
    </row>
    <row r="25" spans="1:17">
      <c r="A25" t="s">
        <v>86</v>
      </c>
      <c r="B25" t="s">
        <v>87</v>
      </c>
      <c r="C25" t="str">
        <f t="shared" si="0"/>
        <v>Carmen Rodríguez</v>
      </c>
      <c r="D25">
        <v>28</v>
      </c>
      <c r="E25" t="s">
        <v>13</v>
      </c>
      <c r="F25" t="str">
        <v>Female</v>
      </c>
      <c r="G25" t="s">
        <v>88</v>
      </c>
      <c r="H25" t="str">
        <v>Spain</v>
      </c>
      <c r="I25" t="s">
        <v>40</v>
      </c>
      <c r="J25" t="s">
        <v>40</v>
      </c>
      <c r="K25">
        <v>78</v>
      </c>
      <c r="L25" t="s">
        <v>44</v>
      </c>
      <c r="M25" t="str" cm="1">
        <f t="array" ref="M25">_xlfn.IFS(ISNUMBER(SEARCH("master",L25)),"Masters",ISNUMBER(SEARCH("bachelor",L25)),"Bachelors",ISNUMBER(SEARCH("diplom",L25)),"Diploma", ISNUMBER(SEARCH("high",L25)),"High School",ISNUMBER(SEARCH("doctor",L25)),"Doctorate",TRUE, L25)</f>
        <v>Bachelors</v>
      </c>
      <c r="N25">
        <v>156</v>
      </c>
      <c r="O25">
        <v>80</v>
      </c>
      <c r="P25">
        <v>80</v>
      </c>
      <c r="Q25">
        <v>55</v>
      </c>
    </row>
    <row r="26" spans="1:17">
      <c r="A26" t="s">
        <v>62</v>
      </c>
      <c r="B26" t="s">
        <v>89</v>
      </c>
      <c r="C26" t="str">
        <f t="shared" si="0"/>
        <v>Odd Ahmed</v>
      </c>
      <c r="D26">
        <v>30</v>
      </c>
      <c r="E26" t="s">
        <v>24</v>
      </c>
      <c r="F26" t="str">
        <v>Male</v>
      </c>
      <c r="G26" t="s">
        <v>14</v>
      </c>
      <c r="H26" t="str">
        <v>Norway</v>
      </c>
      <c r="I26" t="s">
        <v>40</v>
      </c>
      <c r="J26" t="s">
        <v>40</v>
      </c>
      <c r="K26">
        <v>82</v>
      </c>
      <c r="L26" t="s">
        <v>44</v>
      </c>
      <c r="M26" t="str" cm="1">
        <f t="array" ref="M26">_xlfn.IFS(ISNUMBER(SEARCH("master",L26)),"Masters",ISNUMBER(SEARCH("bachelor",L26)),"Bachelors",ISNUMBER(SEARCH("diplom",L26)),"Diploma", ISNUMBER(SEARCH("high",L26)),"High School",ISNUMBER(SEARCH("doctor",L26)),"Doctorate",TRUE, L26)</f>
        <v>Bachelors</v>
      </c>
      <c r="N26">
        <v>156</v>
      </c>
      <c r="O26">
        <v>82</v>
      </c>
      <c r="P26">
        <v>82</v>
      </c>
      <c r="Q26">
        <v>65</v>
      </c>
    </row>
    <row r="27" spans="1:17">
      <c r="A27" t="s">
        <v>90</v>
      </c>
      <c r="B27" t="s">
        <v>91</v>
      </c>
      <c r="C27" t="str">
        <f t="shared" si="0"/>
        <v>Gunnar Brekke</v>
      </c>
      <c r="D27">
        <v>32</v>
      </c>
      <c r="E27" t="s">
        <v>24</v>
      </c>
      <c r="F27" t="str">
        <v>Male</v>
      </c>
      <c r="G27" t="s">
        <v>14</v>
      </c>
      <c r="H27" t="str">
        <v>Norway</v>
      </c>
      <c r="I27" t="s">
        <v>40</v>
      </c>
      <c r="J27" t="s">
        <v>40</v>
      </c>
      <c r="K27">
        <v>81</v>
      </c>
      <c r="L27" t="s">
        <v>44</v>
      </c>
      <c r="M27" t="str" cm="1">
        <f t="array" ref="M27">_xlfn.IFS(ISNUMBER(SEARCH("master",L27)),"Masters",ISNUMBER(SEARCH("bachelor",L27)),"Bachelors",ISNUMBER(SEARCH("diplom",L27)),"Diploma", ISNUMBER(SEARCH("high",L27)),"High School",ISNUMBER(SEARCH("doctor",L27)),"Doctorate",TRUE, L27)</f>
        <v>Bachelors</v>
      </c>
      <c r="N27">
        <v>158</v>
      </c>
      <c r="O27">
        <v>85</v>
      </c>
      <c r="P27">
        <v>85</v>
      </c>
      <c r="Q27">
        <v>83</v>
      </c>
    </row>
    <row r="28" spans="1:17">
      <c r="A28" t="s">
        <v>92</v>
      </c>
      <c r="B28" t="s">
        <v>93</v>
      </c>
      <c r="C28" t="str">
        <f t="shared" si="0"/>
        <v>Gerd Bakken</v>
      </c>
      <c r="D28">
        <v>35</v>
      </c>
      <c r="E28" t="s">
        <v>13</v>
      </c>
      <c r="F28" t="str">
        <v>Female</v>
      </c>
      <c r="G28" t="s">
        <v>14</v>
      </c>
      <c r="H28" t="str">
        <v>Norway</v>
      </c>
      <c r="I28" t="s">
        <v>40</v>
      </c>
      <c r="J28" t="s">
        <v>40</v>
      </c>
      <c r="K28">
        <v>92</v>
      </c>
      <c r="L28" t="s">
        <v>16</v>
      </c>
      <c r="M28" t="str" cm="1">
        <f t="array" ref="M28">_xlfn.IFS(ISNUMBER(SEARCH("master",L28)),"Masters",ISNUMBER(SEARCH("bachelor",L28)),"Bachelors",ISNUMBER(SEARCH("diplom",L28)),"Diploma", ISNUMBER(SEARCH("high",L28)),"High School",ISNUMBER(SEARCH("doctor",L28)),"Doctorate",TRUE, L28)</f>
        <v>Masters</v>
      </c>
      <c r="N28">
        <v>160</v>
      </c>
      <c r="O28">
        <v>87</v>
      </c>
      <c r="P28">
        <v>87</v>
      </c>
      <c r="Q28">
        <v>88</v>
      </c>
    </row>
    <row r="29" spans="1:17">
      <c r="A29" t="s">
        <v>94</v>
      </c>
      <c r="B29" t="s">
        <v>95</v>
      </c>
      <c r="C29" t="str">
        <f t="shared" si="0"/>
        <v>Aisha Nakaweesi</v>
      </c>
      <c r="D29">
        <v>37</v>
      </c>
      <c r="E29" t="s">
        <v>13</v>
      </c>
      <c r="F29" t="str">
        <v>Female</v>
      </c>
      <c r="G29" t="s">
        <v>25</v>
      </c>
      <c r="H29" t="str">
        <v>Uganda</v>
      </c>
      <c r="I29" t="s">
        <v>15</v>
      </c>
      <c r="J29" t="s">
        <v>15</v>
      </c>
      <c r="K29">
        <v>55</v>
      </c>
      <c r="L29" t="s">
        <v>21</v>
      </c>
      <c r="M29" t="str" cm="1">
        <f t="array" ref="M29">_xlfn.IFS(ISNUMBER(SEARCH("master",L29)),"Masters",ISNUMBER(SEARCH("bachelor",L29)),"Bachelors",ISNUMBER(SEARCH("diplom",L29)),"Diploma", ISNUMBER(SEARCH("high",L29)),"High School",ISNUMBER(SEARCH("doctor",L29)),"Doctorate",TRUE, L29)</f>
        <v>Diploma</v>
      </c>
      <c r="N29">
        <v>142</v>
      </c>
      <c r="O29">
        <v>66</v>
      </c>
      <c r="P29">
        <v>66</v>
      </c>
      <c r="Q29">
        <v>58</v>
      </c>
    </row>
    <row r="30" spans="1:17">
      <c r="A30" t="s">
        <v>96</v>
      </c>
      <c r="B30" t="s">
        <v>97</v>
      </c>
      <c r="C30" t="str">
        <f t="shared" si="0"/>
        <v>Kato Muwanguzi</v>
      </c>
      <c r="D30">
        <v>39</v>
      </c>
      <c r="E30" t="s">
        <v>24</v>
      </c>
      <c r="F30" t="str">
        <v>Male</v>
      </c>
      <c r="G30" t="s">
        <v>25</v>
      </c>
      <c r="H30" t="str">
        <v>Uganda</v>
      </c>
      <c r="I30" t="s">
        <v>15</v>
      </c>
      <c r="J30" t="s">
        <v>15</v>
      </c>
      <c r="K30">
        <v>80</v>
      </c>
      <c r="L30" t="s">
        <v>44</v>
      </c>
      <c r="M30" t="str" cm="1">
        <f t="array" ref="M30">_xlfn.IFS(ISNUMBER(SEARCH("master",L30)),"Masters",ISNUMBER(SEARCH("bachelor",L30)),"Bachelors",ISNUMBER(SEARCH("diplom",L30)),"Diploma", ISNUMBER(SEARCH("high",L30)),"High School",ISNUMBER(SEARCH("doctor",L30)),"Doctorate",TRUE, L30)</f>
        <v>Bachelors</v>
      </c>
      <c r="N30">
        <v>156</v>
      </c>
      <c r="O30">
        <v>81</v>
      </c>
      <c r="P30">
        <v>81</v>
      </c>
      <c r="Q30">
        <v>69</v>
      </c>
    </row>
    <row r="31" spans="1:17">
      <c r="A31" t="s">
        <v>98</v>
      </c>
      <c r="B31" t="s">
        <v>99</v>
      </c>
      <c r="C31" t="str">
        <f t="shared" si="0"/>
        <v>Nansubuga Nakalema</v>
      </c>
      <c r="D31">
        <v>41</v>
      </c>
      <c r="E31" t="s">
        <v>13</v>
      </c>
      <c r="F31" t="str">
        <v>Female</v>
      </c>
      <c r="G31" t="s">
        <v>25</v>
      </c>
      <c r="H31" t="str">
        <v>Uganda</v>
      </c>
      <c r="I31" t="s">
        <v>15</v>
      </c>
      <c r="J31" t="s">
        <v>15</v>
      </c>
      <c r="K31">
        <v>86</v>
      </c>
      <c r="L31" t="s">
        <v>44</v>
      </c>
      <c r="M31" t="str" cm="1">
        <f t="array" ref="M31">_xlfn.IFS(ISNUMBER(SEARCH("master",L31)),"Masters",ISNUMBER(SEARCH("bachelor",L31)),"Bachelors",ISNUMBER(SEARCH("diplom",L31)),"Diploma", ISNUMBER(SEARCH("high",L31)),"High School",ISNUMBER(SEARCH("doctor",L31)),"Doctorate",TRUE, L31)</f>
        <v>Bachelors</v>
      </c>
      <c r="N31">
        <v>154</v>
      </c>
      <c r="O31">
        <v>81</v>
      </c>
      <c r="P31">
        <v>81</v>
      </c>
      <c r="Q31">
        <v>91</v>
      </c>
    </row>
    <row r="32" spans="1:17">
      <c r="A32" t="s">
        <v>100</v>
      </c>
      <c r="B32" t="s">
        <v>101</v>
      </c>
      <c r="C32" t="str">
        <f t="shared" si="0"/>
        <v>Joakim Edvardsen</v>
      </c>
      <c r="D32">
        <v>44</v>
      </c>
      <c r="E32" t="s">
        <v>24</v>
      </c>
      <c r="F32" t="str">
        <v>Male</v>
      </c>
      <c r="G32" t="s">
        <v>14</v>
      </c>
      <c r="H32" t="str">
        <v>Norway</v>
      </c>
      <c r="I32" t="s">
        <v>15</v>
      </c>
      <c r="J32" t="s">
        <v>15</v>
      </c>
      <c r="K32">
        <v>78</v>
      </c>
      <c r="L32" t="s">
        <v>21</v>
      </c>
      <c r="M32" t="str" cm="1">
        <f t="array" ref="M32">_xlfn.IFS(ISNUMBER(SEARCH("master",L32)),"Masters",ISNUMBER(SEARCH("bachelor",L32)),"Bachelors",ISNUMBER(SEARCH("diplom",L32)),"Diploma", ISNUMBER(SEARCH("high",L32)),"High School",ISNUMBER(SEARCH("doctor",L32)),"Doctorate",TRUE, L32)</f>
        <v>Diploma</v>
      </c>
      <c r="N32">
        <v>152</v>
      </c>
      <c r="O32">
        <v>80</v>
      </c>
      <c r="P32">
        <v>80</v>
      </c>
      <c r="Q32">
        <v>79</v>
      </c>
    </row>
    <row r="33" spans="1:17">
      <c r="A33" t="s">
        <v>102</v>
      </c>
      <c r="B33" t="s">
        <v>103</v>
      </c>
      <c r="C33" t="str">
        <f t="shared" si="0"/>
        <v>Don Pettersen</v>
      </c>
      <c r="D33">
        <v>46</v>
      </c>
      <c r="E33" t="s">
        <v>24</v>
      </c>
      <c r="F33" t="str">
        <v>Male</v>
      </c>
      <c r="G33" t="s">
        <v>14</v>
      </c>
      <c r="H33" t="str">
        <v>Norway</v>
      </c>
      <c r="I33" t="s">
        <v>15</v>
      </c>
      <c r="J33" t="s">
        <v>15</v>
      </c>
      <c r="K33">
        <v>76</v>
      </c>
      <c r="L33" t="s">
        <v>21</v>
      </c>
      <c r="M33" t="str" cm="1">
        <f t="array" ref="M33">_xlfn.IFS(ISNUMBER(SEARCH("master",L33)),"Masters",ISNUMBER(SEARCH("bachelor",L33)),"Bachelors",ISNUMBER(SEARCH("diplom",L33)),"Diploma", ISNUMBER(SEARCH("high",L33)),"High School",ISNUMBER(SEARCH("doctor",L33)),"Doctorate",TRUE, L33)</f>
        <v>Diploma</v>
      </c>
      <c r="N33">
        <v>156</v>
      </c>
      <c r="O33">
        <v>85</v>
      </c>
      <c r="P33">
        <v>85</v>
      </c>
      <c r="Q33">
        <v>45</v>
      </c>
    </row>
    <row r="34" spans="1:17">
      <c r="A34" t="s">
        <v>104</v>
      </c>
      <c r="B34" t="s">
        <v>105</v>
      </c>
      <c r="C34" t="str">
        <f t="shared" si="0"/>
        <v>Perry Rønning</v>
      </c>
      <c r="D34">
        <v>71</v>
      </c>
      <c r="E34" t="s">
        <v>13</v>
      </c>
      <c r="F34" t="str">
        <v>Female</v>
      </c>
      <c r="G34" t="s">
        <v>14</v>
      </c>
      <c r="H34" t="str">
        <v>Norway</v>
      </c>
      <c r="I34" t="s">
        <v>15</v>
      </c>
      <c r="J34" t="s">
        <v>15</v>
      </c>
      <c r="K34">
        <v>30</v>
      </c>
      <c r="L34" t="s">
        <v>106</v>
      </c>
      <c r="M34" t="str" cm="1">
        <f t="array" ref="M34">_xlfn.IFS(ISNUMBER(SEARCH("master",L34)),"Masters",ISNUMBER(SEARCH("bachelor",L34)),"Bachelors",ISNUMBER(SEARCH("diplom",L34)),"Diploma", ISNUMBER(SEARCH("high",L34)),"High School",ISNUMBER(SEARCH("doctor",L34)),"Doctorate",TRUE, L34)</f>
        <v>Doctorate</v>
      </c>
      <c r="N34">
        <v>120</v>
      </c>
      <c r="O34">
        <v>31</v>
      </c>
      <c r="P34">
        <v>31</v>
      </c>
      <c r="Q34">
        <v>42</v>
      </c>
    </row>
    <row r="35" spans="1:17">
      <c r="A35" t="s">
        <v>107</v>
      </c>
      <c r="B35" t="s">
        <v>108</v>
      </c>
      <c r="C35" t="str">
        <f t="shared" si="0"/>
        <v>Frank Abrahamsen</v>
      </c>
      <c r="D35">
        <v>23</v>
      </c>
      <c r="E35" t="s">
        <v>24</v>
      </c>
      <c r="F35" t="str">
        <v>Male</v>
      </c>
      <c r="G35" t="s">
        <v>14</v>
      </c>
      <c r="H35" t="str">
        <v>Norway</v>
      </c>
      <c r="I35" t="s">
        <v>40</v>
      </c>
      <c r="J35" t="s">
        <v>40</v>
      </c>
      <c r="K35">
        <v>68</v>
      </c>
      <c r="L35" t="s">
        <v>32</v>
      </c>
      <c r="M35" t="str" cm="1">
        <f t="array" ref="M35">_xlfn.IFS(ISNUMBER(SEARCH("master",L35)),"Masters",ISNUMBER(SEARCH("bachelor",L35)),"Bachelors",ISNUMBER(SEARCH("diplom",L35)),"Diploma", ISNUMBER(SEARCH("high",L35)),"High School",ISNUMBER(SEARCH("doctor",L35)),"Doctorate",TRUE, L35)</f>
        <v>High School</v>
      </c>
      <c r="N35">
        <v>152</v>
      </c>
      <c r="P35">
        <v>0</v>
      </c>
      <c r="Q35">
        <v>70</v>
      </c>
    </row>
    <row r="36" spans="1:17">
      <c r="A36" t="s">
        <v>109</v>
      </c>
      <c r="B36" t="s">
        <v>110</v>
      </c>
      <c r="C36" t="str">
        <f t="shared" si="0"/>
        <v>Line Næss</v>
      </c>
      <c r="D36">
        <v>25</v>
      </c>
      <c r="E36" t="s">
        <v>13</v>
      </c>
      <c r="F36" t="str">
        <v>Female</v>
      </c>
      <c r="G36" t="s">
        <v>14</v>
      </c>
      <c r="H36" t="str">
        <v>Norway</v>
      </c>
      <c r="I36" t="s">
        <v>40</v>
      </c>
      <c r="J36" t="s">
        <v>40</v>
      </c>
      <c r="K36">
        <v>98</v>
      </c>
      <c r="L36" t="s">
        <v>32</v>
      </c>
      <c r="M36" t="str" cm="1">
        <f t="array" ref="M36">_xlfn.IFS(ISNUMBER(SEARCH("master",L36)),"Masters",ISNUMBER(SEARCH("bachelor",L36)),"Bachelors",ISNUMBER(SEARCH("diplom",L36)),"Diploma", ISNUMBER(SEARCH("high",L36)),"High School",ISNUMBER(SEARCH("doctor",L36)),"Doctorate",TRUE, L36)</f>
        <v>High School</v>
      </c>
      <c r="N36">
        <v>160</v>
      </c>
      <c r="O36">
        <v>90</v>
      </c>
      <c r="P36">
        <v>90</v>
      </c>
      <c r="Q36">
        <v>90</v>
      </c>
    </row>
    <row r="37" spans="1:17">
      <c r="A37" t="s">
        <v>111</v>
      </c>
      <c r="B37" t="s">
        <v>112</v>
      </c>
      <c r="C37" t="str">
        <f t="shared" si="0"/>
        <v>Thor Sandvik</v>
      </c>
      <c r="D37">
        <v>27</v>
      </c>
      <c r="E37" t="s">
        <v>24</v>
      </c>
      <c r="F37" t="str">
        <v>Male</v>
      </c>
      <c r="G37" t="s">
        <v>14</v>
      </c>
      <c r="H37" t="str">
        <v>Norway</v>
      </c>
      <c r="I37" t="s">
        <v>40</v>
      </c>
      <c r="J37" t="s">
        <v>40</v>
      </c>
      <c r="K37">
        <v>85</v>
      </c>
      <c r="L37" t="s">
        <v>44</v>
      </c>
      <c r="M37" t="str" cm="1">
        <f t="array" ref="M37">_xlfn.IFS(ISNUMBER(SEARCH("master",L37)),"Masters",ISNUMBER(SEARCH("bachelor",L37)),"Bachelors",ISNUMBER(SEARCH("diplom",L37)),"Diploma", ISNUMBER(SEARCH("high",L37)),"High School",ISNUMBER(SEARCH("doctor",L37)),"Doctorate",TRUE, L37)</f>
        <v>Bachelors</v>
      </c>
      <c r="N37">
        <v>158</v>
      </c>
      <c r="O37">
        <v>84</v>
      </c>
      <c r="P37">
        <v>84</v>
      </c>
      <c r="Q37">
        <v>90</v>
      </c>
    </row>
    <row r="38" spans="1:17">
      <c r="A38" t="s">
        <v>113</v>
      </c>
      <c r="B38" t="s">
        <v>114</v>
      </c>
      <c r="C38" t="str">
        <f t="shared" si="0"/>
        <v>Petter Ellingsen</v>
      </c>
      <c r="D38">
        <v>29</v>
      </c>
      <c r="E38" t="s">
        <v>24</v>
      </c>
      <c r="F38" t="str">
        <v>Male</v>
      </c>
      <c r="G38" t="s">
        <v>14</v>
      </c>
      <c r="H38" t="str">
        <v>Norway</v>
      </c>
      <c r="I38" t="s">
        <v>40</v>
      </c>
      <c r="J38" t="s">
        <v>40</v>
      </c>
      <c r="K38">
        <v>75</v>
      </c>
      <c r="L38" t="s">
        <v>21</v>
      </c>
      <c r="M38" t="str" cm="1">
        <f t="array" ref="M38">_xlfn.IFS(ISNUMBER(SEARCH("master",L38)),"Masters",ISNUMBER(SEARCH("bachelor",L38)),"Bachelors",ISNUMBER(SEARCH("diplom",L38)),"Diploma", ISNUMBER(SEARCH("high",L38)),"High School",ISNUMBER(SEARCH("doctor",L38)),"Doctorate",TRUE, L38)</f>
        <v>Diploma</v>
      </c>
      <c r="N38">
        <v>156</v>
      </c>
      <c r="O38">
        <v>81</v>
      </c>
      <c r="P38">
        <v>81</v>
      </c>
      <c r="Q38">
        <v>74</v>
      </c>
    </row>
    <row r="39" spans="1:17">
      <c r="A39" t="s">
        <v>115</v>
      </c>
      <c r="B39" t="s">
        <v>37</v>
      </c>
      <c r="C39" t="str">
        <f t="shared" si="0"/>
        <v>Sindre Hansen</v>
      </c>
      <c r="D39">
        <v>31</v>
      </c>
      <c r="E39" t="s">
        <v>24</v>
      </c>
      <c r="F39" t="str">
        <v>Male</v>
      </c>
      <c r="G39" t="s">
        <v>14</v>
      </c>
      <c r="H39" t="str">
        <v>Norway</v>
      </c>
      <c r="I39" t="s">
        <v>40</v>
      </c>
      <c r="J39" t="s">
        <v>40</v>
      </c>
      <c r="K39">
        <v>95</v>
      </c>
      <c r="L39" t="s">
        <v>44</v>
      </c>
      <c r="M39" t="str" cm="1">
        <f t="array" ref="M39">_xlfn.IFS(ISNUMBER(SEARCH("master",L39)),"Masters",ISNUMBER(SEARCH("bachelor",L39)),"Bachelors",ISNUMBER(SEARCH("diplom",L39)),"Diploma", ISNUMBER(SEARCH("high",L39)),"High School",ISNUMBER(SEARCH("doctor",L39)),"Doctorate",TRUE, L39)</f>
        <v>Bachelors</v>
      </c>
      <c r="N39">
        <v>158</v>
      </c>
      <c r="O39">
        <v>87</v>
      </c>
      <c r="P39">
        <v>87</v>
      </c>
      <c r="Q39">
        <v>99</v>
      </c>
    </row>
    <row r="40" spans="1:17">
      <c r="A40" t="s">
        <v>116</v>
      </c>
      <c r="B40" t="s">
        <v>117</v>
      </c>
      <c r="C40" t="str">
        <f t="shared" si="0"/>
        <v>Simen Myhre</v>
      </c>
      <c r="D40">
        <v>33</v>
      </c>
      <c r="E40" t="s">
        <v>13</v>
      </c>
      <c r="F40" t="str">
        <v>Female</v>
      </c>
      <c r="G40" t="s">
        <v>14</v>
      </c>
      <c r="H40" t="str">
        <v>Norway</v>
      </c>
      <c r="I40" t="s">
        <v>40</v>
      </c>
      <c r="J40" t="s">
        <v>40</v>
      </c>
      <c r="K40">
        <v>50</v>
      </c>
      <c r="L40" t="s">
        <v>21</v>
      </c>
      <c r="M40" t="str" cm="1">
        <f t="array" ref="M40">_xlfn.IFS(ISNUMBER(SEARCH("master",L40)),"Masters",ISNUMBER(SEARCH("bachelor",L40)),"Bachelors",ISNUMBER(SEARCH("diplom",L40)),"Diploma", ISNUMBER(SEARCH("high",L40)),"High School",ISNUMBER(SEARCH("doctor",L40)),"Doctorate",TRUE, L40)</f>
        <v>Diploma</v>
      </c>
      <c r="N40">
        <v>144</v>
      </c>
      <c r="O40">
        <v>69</v>
      </c>
      <c r="P40">
        <v>69</v>
      </c>
      <c r="Q40">
        <v>33</v>
      </c>
    </row>
    <row r="41" spans="1:17">
      <c r="A41" t="s">
        <v>118</v>
      </c>
      <c r="B41" t="s">
        <v>119</v>
      </c>
      <c r="C41" t="str">
        <f t="shared" si="0"/>
        <v>Bjørg Fredriksen</v>
      </c>
      <c r="D41">
        <v>35</v>
      </c>
      <c r="E41" t="s">
        <v>24</v>
      </c>
      <c r="F41" t="str">
        <v>Male</v>
      </c>
      <c r="G41" t="s">
        <v>14</v>
      </c>
      <c r="H41" t="str">
        <v>Norway</v>
      </c>
      <c r="I41" t="s">
        <v>40</v>
      </c>
      <c r="J41" t="s">
        <v>40</v>
      </c>
      <c r="K41">
        <v>68</v>
      </c>
      <c r="L41" t="s">
        <v>21</v>
      </c>
      <c r="M41" t="str" cm="1">
        <f t="array" ref="M41">_xlfn.IFS(ISNUMBER(SEARCH("master",L41)),"Masters",ISNUMBER(SEARCH("bachelor",L41)),"Bachelors",ISNUMBER(SEARCH("diplom",L41)),"Diploma", ISNUMBER(SEARCH("high",L41)),"High School",ISNUMBER(SEARCH("doctor",L41)),"Doctorate",TRUE, L41)</f>
        <v>Diploma</v>
      </c>
      <c r="N41">
        <v>136</v>
      </c>
      <c r="O41">
        <v>60</v>
      </c>
      <c r="P41">
        <v>60</v>
      </c>
      <c r="Q41">
        <v>78</v>
      </c>
    </row>
    <row r="42" spans="1:17">
      <c r="A42" t="s">
        <v>120</v>
      </c>
      <c r="B42" t="s">
        <v>121</v>
      </c>
      <c r="C42" t="str">
        <f t="shared" si="0"/>
        <v>Trond Karlsen</v>
      </c>
      <c r="D42">
        <v>37</v>
      </c>
      <c r="E42" t="s">
        <v>13</v>
      </c>
      <c r="F42" t="str">
        <v>Female</v>
      </c>
      <c r="G42" t="s">
        <v>14</v>
      </c>
      <c r="H42" t="str">
        <v>Norway</v>
      </c>
      <c r="I42" t="s">
        <v>15</v>
      </c>
      <c r="J42" t="s">
        <v>15</v>
      </c>
      <c r="K42">
        <v>45</v>
      </c>
      <c r="L42" t="s">
        <v>44</v>
      </c>
      <c r="M42" t="str" cm="1">
        <f t="array" ref="M42">_xlfn.IFS(ISNUMBER(SEARCH("master",L42)),"Masters",ISNUMBER(SEARCH("bachelor",L42)),"Bachelors",ISNUMBER(SEARCH("diplom",L42)),"Diploma", ISNUMBER(SEARCH("high",L42)),"High School",ISNUMBER(SEARCH("doctor",L42)),"Doctorate",TRUE, L42)</f>
        <v>Bachelors</v>
      </c>
      <c r="N42">
        <v>142</v>
      </c>
      <c r="O42">
        <v>57</v>
      </c>
      <c r="P42">
        <v>57</v>
      </c>
      <c r="Q42">
        <v>50</v>
      </c>
    </row>
    <row r="43" spans="1:17">
      <c r="A43" t="s">
        <v>122</v>
      </c>
      <c r="B43" t="s">
        <v>123</v>
      </c>
      <c r="C43" t="str">
        <f t="shared" si="0"/>
        <v>Emily Thompson</v>
      </c>
      <c r="D43">
        <v>39</v>
      </c>
      <c r="E43" t="s">
        <v>13</v>
      </c>
      <c r="F43" t="str">
        <v>Female</v>
      </c>
      <c r="G43" t="s">
        <v>124</v>
      </c>
      <c r="H43" t="str">
        <v>UK</v>
      </c>
      <c r="I43" t="s">
        <v>15</v>
      </c>
      <c r="J43" t="s">
        <v>15</v>
      </c>
      <c r="K43">
        <v>90</v>
      </c>
      <c r="L43" t="s">
        <v>16</v>
      </c>
      <c r="M43" t="str" cm="1">
        <f t="array" ref="M43">_xlfn.IFS(ISNUMBER(SEARCH("master",L43)),"Masters",ISNUMBER(SEARCH("bachelor",L43)),"Bachelors",ISNUMBER(SEARCH("diplom",L43)),"Diploma", ISNUMBER(SEARCH("high",L43)),"High School",ISNUMBER(SEARCH("doctor",L43)),"Doctorate",TRUE, L43)</f>
        <v>Masters</v>
      </c>
      <c r="N43">
        <v>158</v>
      </c>
      <c r="O43">
        <v>85</v>
      </c>
      <c r="P43">
        <v>85</v>
      </c>
      <c r="Q43">
        <v>74</v>
      </c>
    </row>
    <row r="44" spans="1:17">
      <c r="A44" t="s">
        <v>125</v>
      </c>
      <c r="B44" t="s">
        <v>126</v>
      </c>
      <c r="C44" t="str">
        <f t="shared" si="0"/>
        <v>Unni Jacobsen</v>
      </c>
      <c r="D44">
        <v>41</v>
      </c>
      <c r="E44" t="s">
        <v>13</v>
      </c>
      <c r="F44" t="str">
        <v>Female</v>
      </c>
      <c r="G44" t="s">
        <v>14</v>
      </c>
      <c r="H44" t="str">
        <v>Norway</v>
      </c>
      <c r="I44" t="s">
        <v>15</v>
      </c>
      <c r="J44" t="s">
        <v>15</v>
      </c>
      <c r="K44">
        <v>90</v>
      </c>
      <c r="L44" t="s">
        <v>16</v>
      </c>
      <c r="M44" t="str" cm="1">
        <f t="array" ref="M44">_xlfn.IFS(ISNUMBER(SEARCH("master",L44)),"Masters",ISNUMBER(SEARCH("bachelor",L44)),"Bachelors",ISNUMBER(SEARCH("diplom",L44)),"Diploma", ISNUMBER(SEARCH("high",L44)),"High School",ISNUMBER(SEARCH("doctor",L44)),"Doctorate",TRUE, L44)</f>
        <v>Masters</v>
      </c>
      <c r="N44">
        <v>156</v>
      </c>
      <c r="O44">
        <v>80</v>
      </c>
      <c r="P44">
        <v>80</v>
      </c>
      <c r="Q44">
        <v>83</v>
      </c>
    </row>
    <row r="45" spans="1:17">
      <c r="A45" t="s">
        <v>66</v>
      </c>
      <c r="B45" t="s">
        <v>91</v>
      </c>
      <c r="C45" t="str">
        <f t="shared" si="0"/>
        <v>Grethe Brekke</v>
      </c>
      <c r="D45">
        <v>43</v>
      </c>
      <c r="E45" t="s">
        <v>13</v>
      </c>
      <c r="F45" t="str">
        <v>Female</v>
      </c>
      <c r="G45" t="s">
        <v>14</v>
      </c>
      <c r="H45" t="str">
        <v>Norway</v>
      </c>
      <c r="I45" t="s">
        <v>15</v>
      </c>
      <c r="J45" t="s">
        <v>15</v>
      </c>
      <c r="K45">
        <v>96</v>
      </c>
      <c r="L45" t="s">
        <v>16</v>
      </c>
      <c r="M45" t="str" cm="1">
        <f t="array" ref="M45">_xlfn.IFS(ISNUMBER(SEARCH("master",L45)),"Masters",ISNUMBER(SEARCH("bachelor",L45)),"Bachelors",ISNUMBER(SEARCH("diplom",L45)),"Diploma", ISNUMBER(SEARCH("high",L45)),"High School",ISNUMBER(SEARCH("doctor",L45)),"Doctorate",TRUE, L45)</f>
        <v>Masters</v>
      </c>
      <c r="N45">
        <v>158</v>
      </c>
      <c r="O45">
        <v>87</v>
      </c>
      <c r="P45">
        <v>87</v>
      </c>
      <c r="Q45">
        <v>92</v>
      </c>
    </row>
    <row r="46" spans="1:17">
      <c r="A46" t="s">
        <v>127</v>
      </c>
      <c r="B46" t="s">
        <v>128</v>
      </c>
      <c r="C46" t="str">
        <f t="shared" si="0"/>
        <v>Ruth Pedersen</v>
      </c>
      <c r="D46">
        <v>45</v>
      </c>
      <c r="E46" t="s">
        <v>13</v>
      </c>
      <c r="F46" t="str">
        <v>Female</v>
      </c>
      <c r="G46" t="s">
        <v>14</v>
      </c>
      <c r="H46" t="str">
        <v>Norway</v>
      </c>
      <c r="I46" t="s">
        <v>15</v>
      </c>
      <c r="J46" t="s">
        <v>15</v>
      </c>
      <c r="K46">
        <v>95</v>
      </c>
      <c r="L46" t="s">
        <v>16</v>
      </c>
      <c r="M46" t="str" cm="1">
        <f t="array" ref="M46">_xlfn.IFS(ISNUMBER(SEARCH("master",L46)),"Masters",ISNUMBER(SEARCH("bachelor",L46)),"Bachelors",ISNUMBER(SEARCH("diplom",L46)),"Diploma", ISNUMBER(SEARCH("high",L46)),"High School",ISNUMBER(SEARCH("doctor",L46)),"Doctorate",TRUE, L46)</f>
        <v>Masters</v>
      </c>
      <c r="N46">
        <v>160</v>
      </c>
      <c r="O46">
        <v>88</v>
      </c>
      <c r="P46">
        <v>88</v>
      </c>
      <c r="Q46">
        <v>86</v>
      </c>
    </row>
    <row r="47" spans="1:17">
      <c r="A47" t="s">
        <v>129</v>
      </c>
      <c r="B47" t="s">
        <v>53</v>
      </c>
      <c r="C47" t="str">
        <f t="shared" si="0"/>
        <v>Inger Jensen</v>
      </c>
      <c r="D47">
        <v>47</v>
      </c>
      <c r="E47" t="s">
        <v>24</v>
      </c>
      <c r="F47" t="str">
        <v>Male</v>
      </c>
      <c r="G47" t="s">
        <v>14</v>
      </c>
      <c r="H47" t="str">
        <v>Norway</v>
      </c>
      <c r="I47" t="s">
        <v>15</v>
      </c>
      <c r="J47" t="s">
        <v>15</v>
      </c>
      <c r="K47">
        <v>89</v>
      </c>
      <c r="L47" t="s">
        <v>106</v>
      </c>
      <c r="M47" t="str" cm="1">
        <f t="array" ref="M47">_xlfn.IFS(ISNUMBER(SEARCH("master",L47)),"Masters",ISNUMBER(SEARCH("bachelor",L47)),"Bachelors",ISNUMBER(SEARCH("diplom",L47)),"Diploma", ISNUMBER(SEARCH("high",L47)),"High School",ISNUMBER(SEARCH("doctor",L47)),"Doctorate",TRUE, L47)</f>
        <v>Doctorate</v>
      </c>
      <c r="N47">
        <v>160</v>
      </c>
      <c r="O47">
        <v>86</v>
      </c>
      <c r="P47">
        <v>86</v>
      </c>
      <c r="Q47">
        <v>60</v>
      </c>
    </row>
    <row r="48" spans="1:17">
      <c r="A48" t="s">
        <v>130</v>
      </c>
      <c r="B48" t="s">
        <v>75</v>
      </c>
      <c r="C48" t="str">
        <f t="shared" si="0"/>
        <v>Peninah Andresen</v>
      </c>
      <c r="D48">
        <v>22</v>
      </c>
      <c r="E48" t="s">
        <v>13</v>
      </c>
      <c r="F48" t="str">
        <v>Female</v>
      </c>
      <c r="G48" t="s">
        <v>14</v>
      </c>
      <c r="H48" t="str">
        <v>Norway</v>
      </c>
      <c r="I48" t="s">
        <v>40</v>
      </c>
      <c r="J48" t="s">
        <v>40</v>
      </c>
      <c r="K48">
        <v>78</v>
      </c>
      <c r="L48" t="s">
        <v>32</v>
      </c>
      <c r="M48" t="str" cm="1">
        <f t="array" ref="M48">_xlfn.IFS(ISNUMBER(SEARCH("master",L48)),"Masters",ISNUMBER(SEARCH("bachelor",L48)),"Bachelors",ISNUMBER(SEARCH("diplom",L48)),"Diploma", ISNUMBER(SEARCH("high",L48)),"High School",ISNUMBER(SEARCH("doctor",L48)),"Doctorate",TRUE, L48)</f>
        <v>High School</v>
      </c>
      <c r="N48">
        <v>148</v>
      </c>
      <c r="O48">
        <v>78</v>
      </c>
      <c r="P48">
        <v>78</v>
      </c>
      <c r="Q48">
        <v>74</v>
      </c>
    </row>
    <row r="49" spans="1:17">
      <c r="A49" t="s">
        <v>131</v>
      </c>
      <c r="B49" t="s">
        <v>73</v>
      </c>
      <c r="C49" t="str">
        <f t="shared" si="0"/>
        <v>Berit Eide</v>
      </c>
      <c r="D49">
        <v>24</v>
      </c>
      <c r="E49" t="s">
        <v>13</v>
      </c>
      <c r="F49" t="str">
        <v>Female</v>
      </c>
      <c r="G49" t="s">
        <v>14</v>
      </c>
      <c r="H49" t="str">
        <v>Norway</v>
      </c>
      <c r="I49" t="s">
        <v>40</v>
      </c>
      <c r="J49" t="s">
        <v>40</v>
      </c>
      <c r="K49">
        <v>54</v>
      </c>
      <c r="L49" t="s">
        <v>32</v>
      </c>
      <c r="M49" t="str" cm="1">
        <f t="array" ref="M49">_xlfn.IFS(ISNUMBER(SEARCH("master",L49)),"Masters",ISNUMBER(SEARCH("bachelor",L49)),"Bachelors",ISNUMBER(SEARCH("diplom",L49)),"Diploma", ISNUMBER(SEARCH("high",L49)),"High School",ISNUMBER(SEARCH("doctor",L49)),"Doctorate",TRUE, L49)</f>
        <v>High School</v>
      </c>
      <c r="N49">
        <v>136</v>
      </c>
      <c r="O49">
        <v>57</v>
      </c>
      <c r="P49">
        <v>57</v>
      </c>
      <c r="Q49">
        <v>50</v>
      </c>
    </row>
    <row r="50" spans="1:17">
      <c r="A50" t="s">
        <v>132</v>
      </c>
      <c r="B50" t="s">
        <v>133</v>
      </c>
      <c r="C50" t="str">
        <f t="shared" si="0"/>
        <v>Jenny Kristoffersen</v>
      </c>
      <c r="D50">
        <v>26</v>
      </c>
      <c r="E50" t="s">
        <v>13</v>
      </c>
      <c r="F50" t="str">
        <v>Female</v>
      </c>
      <c r="G50" t="s">
        <v>14</v>
      </c>
      <c r="H50" t="str">
        <v>Norway</v>
      </c>
      <c r="I50" t="s">
        <v>40</v>
      </c>
      <c r="J50" t="s">
        <v>40</v>
      </c>
      <c r="K50">
        <v>68</v>
      </c>
      <c r="L50" t="s">
        <v>32</v>
      </c>
      <c r="M50" t="str" cm="1">
        <f t="array" ref="M50">_xlfn.IFS(ISNUMBER(SEARCH("master",L50)),"Masters",ISNUMBER(SEARCH("bachelor",L50)),"Bachelors",ISNUMBER(SEARCH("diplom",L50)),"Diploma", ISNUMBER(SEARCH("high",L50)),"High School",ISNUMBER(SEARCH("doctor",L50)),"Doctorate",TRUE, L50)</f>
        <v>High School</v>
      </c>
      <c r="N50">
        <v>124</v>
      </c>
      <c r="O50">
        <v>48</v>
      </c>
      <c r="P50">
        <v>48</v>
      </c>
      <c r="Q50">
        <v>62</v>
      </c>
    </row>
    <row r="51" spans="1:17">
      <c r="A51" t="s">
        <v>134</v>
      </c>
      <c r="B51" t="s">
        <v>135</v>
      </c>
      <c r="C51" t="str">
        <f t="shared" si="0"/>
        <v>Thea Knutsen</v>
      </c>
      <c r="D51">
        <v>28</v>
      </c>
      <c r="E51" t="s">
        <v>24</v>
      </c>
      <c r="F51" t="str">
        <v>Male</v>
      </c>
      <c r="G51" t="s">
        <v>14</v>
      </c>
      <c r="H51" t="str">
        <v>Norway</v>
      </c>
      <c r="I51" t="s">
        <v>40</v>
      </c>
      <c r="J51" t="s">
        <v>40</v>
      </c>
      <c r="K51">
        <v>69</v>
      </c>
      <c r="L51" t="s">
        <v>32</v>
      </c>
      <c r="M51" t="str" cm="1">
        <f t="array" ref="M51">_xlfn.IFS(ISNUMBER(SEARCH("master",L51)),"Masters",ISNUMBER(SEARCH("bachelor",L51)),"Bachelors",ISNUMBER(SEARCH("diplom",L51)),"Diploma", ISNUMBER(SEARCH("high",L51)),"High School",ISNUMBER(SEARCH("doctor",L51)),"Doctorate",TRUE, L51)</f>
        <v>High School</v>
      </c>
      <c r="N51">
        <v>120</v>
      </c>
      <c r="O51">
        <v>45</v>
      </c>
      <c r="P51">
        <v>45</v>
      </c>
      <c r="Q51">
        <v>70</v>
      </c>
    </row>
    <row r="52" spans="1:17">
      <c r="A52" t="s">
        <v>136</v>
      </c>
      <c r="B52" t="s">
        <v>137</v>
      </c>
      <c r="C52" t="str">
        <f t="shared" si="0"/>
        <v>Dag Arnesen</v>
      </c>
      <c r="D52">
        <v>30</v>
      </c>
      <c r="E52" t="s">
        <v>24</v>
      </c>
      <c r="F52" t="str">
        <v>Male</v>
      </c>
      <c r="G52" t="s">
        <v>14</v>
      </c>
      <c r="H52" t="str">
        <v>Norway</v>
      </c>
      <c r="I52" t="s">
        <v>40</v>
      </c>
      <c r="J52" t="s">
        <v>40</v>
      </c>
      <c r="K52">
        <v>95</v>
      </c>
      <c r="L52" t="s">
        <v>21</v>
      </c>
      <c r="M52" t="str" cm="1">
        <f t="array" ref="M52">_xlfn.IFS(ISNUMBER(SEARCH("master",L52)),"Masters",ISNUMBER(SEARCH("bachelor",L52)),"Bachelors",ISNUMBER(SEARCH("diplom",L52)),"Diploma", ISNUMBER(SEARCH("high",L52)),"High School",ISNUMBER(SEARCH("doctor",L52)),"Doctorate",TRUE, L52)</f>
        <v>Diploma</v>
      </c>
      <c r="N52">
        <v>160</v>
      </c>
      <c r="O52">
        <v>90</v>
      </c>
      <c r="P52">
        <v>90</v>
      </c>
      <c r="Q52">
        <v>89</v>
      </c>
    </row>
    <row r="53" spans="1:17">
      <c r="A53" t="s">
        <v>138</v>
      </c>
      <c r="B53" t="s">
        <v>139</v>
      </c>
      <c r="C53" t="str">
        <f t="shared" si="0"/>
        <v>Mwanaidi Ali</v>
      </c>
      <c r="D53">
        <v>32</v>
      </c>
      <c r="E53" t="s">
        <v>13</v>
      </c>
      <c r="F53" t="str">
        <v>Female</v>
      </c>
      <c r="G53" t="s">
        <v>140</v>
      </c>
      <c r="H53" t="str">
        <v>Somali</v>
      </c>
      <c r="I53" t="s">
        <v>40</v>
      </c>
      <c r="J53" t="s">
        <v>40</v>
      </c>
      <c r="K53">
        <v>82</v>
      </c>
      <c r="L53" t="s">
        <v>44</v>
      </c>
      <c r="M53" t="str" cm="1">
        <f t="array" ref="M53">_xlfn.IFS(ISNUMBER(SEARCH("master",L53)),"Masters",ISNUMBER(SEARCH("bachelor",L53)),"Bachelors",ISNUMBER(SEARCH("diplom",L53)),"Diploma", ISNUMBER(SEARCH("high",L53)),"High School",ISNUMBER(SEARCH("doctor",L53)),"Doctorate",TRUE, L53)</f>
        <v>Bachelors</v>
      </c>
      <c r="N53">
        <v>156</v>
      </c>
      <c r="O53">
        <v>84</v>
      </c>
      <c r="P53">
        <v>84</v>
      </c>
      <c r="Q53">
        <v>59</v>
      </c>
    </row>
    <row r="54" spans="1:17">
      <c r="A54" t="s">
        <v>50</v>
      </c>
      <c r="B54" t="s">
        <v>128</v>
      </c>
      <c r="C54" t="str">
        <f t="shared" si="0"/>
        <v>Bjørn Pedersen</v>
      </c>
      <c r="D54">
        <v>21</v>
      </c>
      <c r="E54" t="s">
        <v>13</v>
      </c>
      <c r="F54" t="str">
        <v>Female</v>
      </c>
      <c r="G54" t="s">
        <v>14</v>
      </c>
      <c r="H54" t="str">
        <v>Norway</v>
      </c>
      <c r="I54" t="s">
        <v>40</v>
      </c>
      <c r="J54" t="s">
        <v>40</v>
      </c>
      <c r="K54">
        <v>70</v>
      </c>
      <c r="L54" t="s">
        <v>32</v>
      </c>
      <c r="M54" t="str" cm="1">
        <f t="array" ref="M54">_xlfn.IFS(ISNUMBER(SEARCH("master",L54)),"Masters",ISNUMBER(SEARCH("bachelor",L54)),"Bachelors",ISNUMBER(SEARCH("diplom",L54)),"Diploma", ISNUMBER(SEARCH("high",L54)),"High School",ISNUMBER(SEARCH("doctor",L54)),"Doctorate",TRUE, L54)</f>
        <v>High School</v>
      </c>
      <c r="N54">
        <v>138</v>
      </c>
      <c r="O54">
        <v>69</v>
      </c>
      <c r="P54">
        <v>69</v>
      </c>
      <c r="Q54">
        <v>47</v>
      </c>
    </row>
    <row r="55" spans="1:17">
      <c r="A55" t="s">
        <v>141</v>
      </c>
      <c r="B55" t="s">
        <v>142</v>
      </c>
      <c r="C55" t="str">
        <f t="shared" si="0"/>
        <v>Chinedu Morison</v>
      </c>
      <c r="D55">
        <v>36</v>
      </c>
      <c r="E55" t="s">
        <v>24</v>
      </c>
      <c r="F55" t="str">
        <v>Male</v>
      </c>
      <c r="G55" t="s">
        <v>143</v>
      </c>
      <c r="H55" t="str">
        <v>Nigeria</v>
      </c>
      <c r="I55" t="s">
        <v>15</v>
      </c>
      <c r="J55" t="s">
        <v>15</v>
      </c>
      <c r="K55">
        <v>28</v>
      </c>
      <c r="L55" t="s">
        <v>21</v>
      </c>
      <c r="M55" t="str" cm="1">
        <f t="array" ref="M55">_xlfn.IFS(ISNUMBER(SEARCH("master",L55)),"Masters",ISNUMBER(SEARCH("bachelor",L55)),"Bachelors",ISNUMBER(SEARCH("diplom",L55)),"Diploma", ISNUMBER(SEARCH("high",L55)),"High School",ISNUMBER(SEARCH("doctor",L55)),"Doctorate",TRUE, L55)</f>
        <v>Diploma</v>
      </c>
      <c r="N55">
        <v>120</v>
      </c>
      <c r="O55">
        <v>15</v>
      </c>
      <c r="P55">
        <v>15</v>
      </c>
      <c r="Q55">
        <v>67</v>
      </c>
    </row>
    <row r="56" spans="1:17">
      <c r="A56" t="s">
        <v>144</v>
      </c>
      <c r="B56" t="s">
        <v>145</v>
      </c>
      <c r="C56" t="str">
        <f t="shared" si="0"/>
        <v>Irene Strømertan</v>
      </c>
      <c r="D56">
        <v>38</v>
      </c>
      <c r="E56" t="s">
        <v>13</v>
      </c>
      <c r="F56" t="str">
        <v>Female</v>
      </c>
      <c r="G56" t="s">
        <v>14</v>
      </c>
      <c r="H56" t="str">
        <v>Norway</v>
      </c>
      <c r="I56" t="s">
        <v>15</v>
      </c>
      <c r="J56" t="s">
        <v>15</v>
      </c>
      <c r="K56">
        <v>80</v>
      </c>
      <c r="L56" t="s">
        <v>16</v>
      </c>
      <c r="M56" t="str" cm="1">
        <f t="array" ref="M56">_xlfn.IFS(ISNUMBER(SEARCH("master",L56)),"Masters",ISNUMBER(SEARCH("bachelor",L56)),"Bachelors",ISNUMBER(SEARCH("diplom",L56)),"Diploma", ISNUMBER(SEARCH("high",L56)),"High School",ISNUMBER(SEARCH("doctor",L56)),"Doctorate",TRUE, L56)</f>
        <v>Masters</v>
      </c>
      <c r="N56">
        <v>158</v>
      </c>
      <c r="O56">
        <v>84</v>
      </c>
      <c r="P56">
        <v>84</v>
      </c>
      <c r="Q56">
        <v>50</v>
      </c>
    </row>
    <row r="57" spans="1:17">
      <c r="A57" t="s">
        <v>141</v>
      </c>
      <c r="B57" t="s">
        <v>146</v>
      </c>
      <c r="C57" t="str">
        <f t="shared" si="0"/>
        <v>Chinedu Okafor</v>
      </c>
      <c r="D57">
        <v>69</v>
      </c>
      <c r="E57" t="s">
        <v>24</v>
      </c>
      <c r="F57" t="str">
        <v>Male</v>
      </c>
      <c r="G57" t="s">
        <v>143</v>
      </c>
      <c r="H57" t="str">
        <v>Nigeria</v>
      </c>
      <c r="I57" t="s">
        <v>15</v>
      </c>
      <c r="J57" t="s">
        <v>15</v>
      </c>
      <c r="K57">
        <v>94</v>
      </c>
      <c r="L57" t="s">
        <v>106</v>
      </c>
      <c r="M57" t="str" cm="1">
        <f t="array" ref="M57">_xlfn.IFS(ISNUMBER(SEARCH("master",L57)),"Masters",ISNUMBER(SEARCH("bachelor",L57)),"Bachelors",ISNUMBER(SEARCH("diplom",L57)),"Diploma", ISNUMBER(SEARCH("high",L57)),"High School",ISNUMBER(SEARCH("doctor",L57)),"Doctorate",TRUE, L57)</f>
        <v>Doctorate</v>
      </c>
      <c r="N57">
        <v>160</v>
      </c>
      <c r="O57">
        <v>87</v>
      </c>
      <c r="P57">
        <v>87</v>
      </c>
      <c r="Q57">
        <v>88</v>
      </c>
    </row>
    <row r="58" spans="1:17">
      <c r="A58" t="s">
        <v>147</v>
      </c>
      <c r="B58" t="s">
        <v>148</v>
      </c>
      <c r="C58" t="str">
        <f t="shared" si="0"/>
        <v>Marianne Ruud</v>
      </c>
      <c r="D58">
        <v>42</v>
      </c>
      <c r="E58" t="s">
        <v>24</v>
      </c>
      <c r="F58" t="str">
        <v>Male</v>
      </c>
      <c r="G58" t="s">
        <v>14</v>
      </c>
      <c r="H58" t="str">
        <v>Norway</v>
      </c>
      <c r="I58" t="s">
        <v>15</v>
      </c>
      <c r="J58" t="s">
        <v>15</v>
      </c>
      <c r="K58">
        <v>91</v>
      </c>
      <c r="L58" t="s">
        <v>106</v>
      </c>
      <c r="M58" t="str" cm="1">
        <f t="array" ref="M58">_xlfn.IFS(ISNUMBER(SEARCH("master",L58)),"Masters",ISNUMBER(SEARCH("bachelor",L58)),"Bachelors",ISNUMBER(SEARCH("diplom",L58)),"Diploma", ISNUMBER(SEARCH("high",L58)),"High School",ISNUMBER(SEARCH("doctor",L58)),"Doctorate",TRUE, L58)</f>
        <v>Doctorate</v>
      </c>
      <c r="N58">
        <v>158</v>
      </c>
      <c r="O58">
        <v>84</v>
      </c>
      <c r="P58">
        <v>84</v>
      </c>
      <c r="Q58">
        <v>82</v>
      </c>
    </row>
    <row r="59" spans="1:17">
      <c r="A59" t="s">
        <v>149</v>
      </c>
      <c r="B59" t="s">
        <v>150</v>
      </c>
      <c r="C59" t="str">
        <f t="shared" si="0"/>
        <v>Jens Lunde</v>
      </c>
      <c r="D59">
        <v>25</v>
      </c>
      <c r="E59" t="s">
        <v>24</v>
      </c>
      <c r="F59" t="str">
        <v>Male</v>
      </c>
      <c r="G59" t="s">
        <v>14</v>
      </c>
      <c r="H59" t="str">
        <v>Norway</v>
      </c>
      <c r="I59" t="s">
        <v>40</v>
      </c>
      <c r="J59" t="s">
        <v>40</v>
      </c>
      <c r="K59">
        <v>90</v>
      </c>
      <c r="L59" t="s">
        <v>32</v>
      </c>
      <c r="M59" t="str" cm="1">
        <f t="array" ref="M59">_xlfn.IFS(ISNUMBER(SEARCH("master",L59)),"Masters",ISNUMBER(SEARCH("bachelor",L59)),"Bachelors",ISNUMBER(SEARCH("diplom",L59)),"Diploma", ISNUMBER(SEARCH("high",L59)),"High School",ISNUMBER(SEARCH("doctor",L59)),"Doctorate",TRUE, L59)</f>
        <v>High School</v>
      </c>
      <c r="N59">
        <v>156</v>
      </c>
      <c r="O59">
        <v>81</v>
      </c>
      <c r="P59">
        <v>81</v>
      </c>
      <c r="Q59">
        <v>100</v>
      </c>
    </row>
    <row r="60" spans="1:17">
      <c r="A60" t="s">
        <v>151</v>
      </c>
      <c r="B60" t="s">
        <v>46</v>
      </c>
      <c r="C60" t="str">
        <f t="shared" si="0"/>
        <v>Morten Olsen</v>
      </c>
      <c r="D60">
        <v>46</v>
      </c>
      <c r="E60" t="s">
        <v>13</v>
      </c>
      <c r="F60" t="str">
        <v>Female</v>
      </c>
      <c r="G60" t="s">
        <v>14</v>
      </c>
      <c r="H60" t="str">
        <v>Norway</v>
      </c>
      <c r="I60" t="s">
        <v>15</v>
      </c>
      <c r="J60" t="s">
        <v>15</v>
      </c>
      <c r="K60">
        <v>94</v>
      </c>
      <c r="L60" t="s">
        <v>106</v>
      </c>
      <c r="M60" t="str" cm="1">
        <f t="array" ref="M60">_xlfn.IFS(ISNUMBER(SEARCH("master",L60)),"Masters",ISNUMBER(SEARCH("bachelor",L60)),"Bachelors",ISNUMBER(SEARCH("diplom",L60)),"Diploma", ISNUMBER(SEARCH("high",L60)),"High School",ISNUMBER(SEARCH("doctor",L60)),"Doctorate",TRUE, L60)</f>
        <v>Doctorate</v>
      </c>
      <c r="N60">
        <v>160</v>
      </c>
      <c r="O60">
        <v>90</v>
      </c>
      <c r="P60">
        <v>90</v>
      </c>
      <c r="Q60">
        <v>77</v>
      </c>
    </row>
    <row r="61" spans="1:17">
      <c r="A61" t="s">
        <v>152</v>
      </c>
      <c r="B61" t="s">
        <v>89</v>
      </c>
      <c r="C61" t="str">
        <f t="shared" si="0"/>
        <v>Karoline Ahmed</v>
      </c>
      <c r="D61">
        <v>26</v>
      </c>
      <c r="E61" t="s">
        <v>13</v>
      </c>
      <c r="F61" t="str">
        <v>Female</v>
      </c>
      <c r="G61" t="s">
        <v>14</v>
      </c>
      <c r="H61" t="str">
        <v>Norway</v>
      </c>
      <c r="I61" t="s">
        <v>40</v>
      </c>
      <c r="J61" t="s">
        <v>40</v>
      </c>
      <c r="K61">
        <v>76</v>
      </c>
      <c r="L61" t="s">
        <v>32</v>
      </c>
      <c r="M61" t="str" cm="1">
        <f t="array" ref="M61">_xlfn.IFS(ISNUMBER(SEARCH("master",L61)),"Masters",ISNUMBER(SEARCH("bachelor",L61)),"Bachelors",ISNUMBER(SEARCH("diplom",L61)),"Diploma", ISNUMBER(SEARCH("high",L61)),"High School",ISNUMBER(SEARCH("doctor",L61)),"Doctorate",TRUE, L61)</f>
        <v>High School</v>
      </c>
      <c r="N61">
        <v>156</v>
      </c>
      <c r="O61">
        <v>84</v>
      </c>
      <c r="P61">
        <v>84</v>
      </c>
      <c r="Q61">
        <v>61</v>
      </c>
    </row>
    <row r="62" spans="1:17">
      <c r="A62" t="s">
        <v>153</v>
      </c>
      <c r="B62" t="s">
        <v>154</v>
      </c>
      <c r="C62" t="str">
        <f t="shared" si="0"/>
        <v>Ola Bakke</v>
      </c>
      <c r="D62">
        <v>50</v>
      </c>
      <c r="E62" t="s">
        <v>13</v>
      </c>
      <c r="F62" t="str">
        <v>Female</v>
      </c>
      <c r="G62" t="s">
        <v>14</v>
      </c>
      <c r="H62" t="str">
        <v>Norway</v>
      </c>
      <c r="I62" t="s">
        <v>15</v>
      </c>
      <c r="J62" t="s">
        <v>15</v>
      </c>
      <c r="K62">
        <v>81</v>
      </c>
      <c r="L62" t="s">
        <v>44</v>
      </c>
      <c r="M62" t="str" cm="1">
        <f t="array" ref="M62">_xlfn.IFS(ISNUMBER(SEARCH("master",L62)),"Masters",ISNUMBER(SEARCH("bachelor",L62)),"Bachelors",ISNUMBER(SEARCH("diplom",L62)),"Diploma", ISNUMBER(SEARCH("high",L62)),"High School",ISNUMBER(SEARCH("doctor",L62)),"Doctorate",TRUE, L62)</f>
        <v>Bachelors</v>
      </c>
      <c r="N62">
        <v>158</v>
      </c>
      <c r="O62">
        <v>87</v>
      </c>
      <c r="P62">
        <v>87</v>
      </c>
      <c r="Q62">
        <v>46</v>
      </c>
    </row>
    <row r="63" spans="1:17">
      <c r="A63" t="s">
        <v>155</v>
      </c>
      <c r="B63" t="s">
        <v>108</v>
      </c>
      <c r="C63" t="str">
        <f t="shared" si="0"/>
        <v>Tore Abrahamsen</v>
      </c>
      <c r="D63">
        <v>22</v>
      </c>
      <c r="E63" t="s">
        <v>13</v>
      </c>
      <c r="F63" t="str">
        <v>Female</v>
      </c>
      <c r="G63" t="s">
        <v>14</v>
      </c>
      <c r="H63" t="str">
        <v>Norway</v>
      </c>
      <c r="I63" t="s">
        <v>40</v>
      </c>
      <c r="J63" t="s">
        <v>40</v>
      </c>
      <c r="K63">
        <v>73</v>
      </c>
      <c r="L63" t="s">
        <v>32</v>
      </c>
      <c r="M63" t="str" cm="1">
        <f t="array" ref="M63">_xlfn.IFS(ISNUMBER(SEARCH("master",L63)),"Masters",ISNUMBER(SEARCH("bachelor",L63)),"Bachelors",ISNUMBER(SEARCH("diplom",L63)),"Diploma", ISNUMBER(SEARCH("high",L63)),"High School",ISNUMBER(SEARCH("doctor",L63)),"Doctorate",TRUE, L63)</f>
        <v>High School</v>
      </c>
      <c r="N63">
        <v>144</v>
      </c>
      <c r="O63">
        <v>70</v>
      </c>
      <c r="P63">
        <v>70</v>
      </c>
      <c r="Q63">
        <v>55</v>
      </c>
    </row>
    <row r="64" spans="1:17">
      <c r="A64" t="s">
        <v>156</v>
      </c>
      <c r="B64" t="s">
        <v>157</v>
      </c>
      <c r="C64" t="str">
        <f t="shared" si="0"/>
        <v>Caroline Narocho</v>
      </c>
      <c r="D64">
        <v>23</v>
      </c>
      <c r="E64" t="s">
        <v>13</v>
      </c>
      <c r="F64" t="str">
        <v>Female</v>
      </c>
      <c r="G64" t="s">
        <v>14</v>
      </c>
      <c r="H64" t="str">
        <v>Norway</v>
      </c>
      <c r="I64" t="s">
        <v>40</v>
      </c>
      <c r="J64" t="s">
        <v>40</v>
      </c>
      <c r="K64">
        <v>90</v>
      </c>
      <c r="L64" t="s">
        <v>32</v>
      </c>
      <c r="M64" t="str" cm="1">
        <f t="array" ref="M64">_xlfn.IFS(ISNUMBER(SEARCH("master",L64)),"Masters",ISNUMBER(SEARCH("bachelor",L64)),"Bachelors",ISNUMBER(SEARCH("diplom",L64)),"Diploma", ISNUMBER(SEARCH("high",L64)),"High School",ISNUMBER(SEARCH("doctor",L64)),"Doctorate",TRUE, L64)</f>
        <v>High School</v>
      </c>
      <c r="N64">
        <v>160</v>
      </c>
      <c r="O64">
        <v>87</v>
      </c>
      <c r="P64">
        <v>87</v>
      </c>
      <c r="Q64">
        <v>73</v>
      </c>
    </row>
    <row r="65" spans="1:17">
      <c r="A65" t="s">
        <v>158</v>
      </c>
      <c r="B65" t="s">
        <v>85</v>
      </c>
      <c r="C65" t="str">
        <f t="shared" si="0"/>
        <v>Silvia Berg</v>
      </c>
      <c r="D65">
        <v>25</v>
      </c>
      <c r="E65" t="s">
        <v>13</v>
      </c>
      <c r="F65" t="str">
        <v>Female</v>
      </c>
      <c r="G65" t="s">
        <v>14</v>
      </c>
      <c r="H65" t="str">
        <v>Norway</v>
      </c>
      <c r="I65" t="s">
        <v>40</v>
      </c>
      <c r="J65" t="s">
        <v>40</v>
      </c>
      <c r="K65">
        <v>81</v>
      </c>
      <c r="L65" t="s">
        <v>32</v>
      </c>
      <c r="M65" t="str" cm="1">
        <f t="array" ref="M65">_xlfn.IFS(ISNUMBER(SEARCH("master",L65)),"Masters",ISNUMBER(SEARCH("bachelor",L65)),"Bachelors",ISNUMBER(SEARCH("diplom",L65)),"Diploma", ISNUMBER(SEARCH("high",L65)),"High School",ISNUMBER(SEARCH("doctor",L65)),"Doctorate",TRUE, L65)</f>
        <v>High School</v>
      </c>
      <c r="N65">
        <v>158</v>
      </c>
      <c r="O65">
        <v>85</v>
      </c>
      <c r="P65">
        <v>85</v>
      </c>
      <c r="Q65">
        <v>46</v>
      </c>
    </row>
    <row r="66" spans="1:17">
      <c r="A66" t="s">
        <v>159</v>
      </c>
      <c r="B66" t="s">
        <v>160</v>
      </c>
      <c r="C66" t="str">
        <f t="shared" si="0"/>
        <v>Valentino Ojiambo</v>
      </c>
      <c r="D66">
        <v>27</v>
      </c>
      <c r="E66" t="s">
        <v>24</v>
      </c>
      <c r="F66" t="str">
        <v>Male</v>
      </c>
      <c r="G66" t="s">
        <v>20</v>
      </c>
      <c r="H66" t="str">
        <v>Kenya</v>
      </c>
      <c r="I66" t="s">
        <v>26</v>
      </c>
      <c r="J66" t="s">
        <v>26</v>
      </c>
      <c r="K66">
        <v>85</v>
      </c>
      <c r="L66" t="s">
        <v>44</v>
      </c>
      <c r="M66" t="str" cm="1">
        <f t="array" ref="M66">_xlfn.IFS(ISNUMBER(SEARCH("master",L66)),"Masters",ISNUMBER(SEARCH("bachelor",L66)),"Bachelors",ISNUMBER(SEARCH("diplom",L66)),"Diploma", ISNUMBER(SEARCH("high",L66)),"High School",ISNUMBER(SEARCH("doctor",L66)),"Doctorate",TRUE, L66)</f>
        <v>Bachelors</v>
      </c>
      <c r="N66">
        <v>156</v>
      </c>
      <c r="O66">
        <v>84</v>
      </c>
      <c r="P66">
        <v>84</v>
      </c>
      <c r="Q66">
        <v>68</v>
      </c>
    </row>
    <row r="67" spans="1:17">
      <c r="A67" t="s">
        <v>161</v>
      </c>
      <c r="B67" t="s">
        <v>162</v>
      </c>
      <c r="C67" t="str">
        <f t="shared" ref="C67:C78" si="1">PROPER(CONCATENATE(A67," ",B67))</f>
        <v>Peter Kubebea</v>
      </c>
      <c r="D67">
        <v>29</v>
      </c>
      <c r="E67" t="s">
        <v>24</v>
      </c>
      <c r="F67" t="str">
        <v>Male</v>
      </c>
      <c r="G67" t="s">
        <v>20</v>
      </c>
      <c r="H67" t="str">
        <v>Kenya</v>
      </c>
      <c r="I67" t="s">
        <v>26</v>
      </c>
      <c r="J67" t="s">
        <v>26</v>
      </c>
      <c r="K67">
        <v>83</v>
      </c>
      <c r="L67" t="s">
        <v>44</v>
      </c>
      <c r="M67" t="str" cm="1">
        <f t="array" ref="M67">_xlfn.IFS(ISNUMBER(SEARCH("master",L67)),"Masters",ISNUMBER(SEARCH("bachelor",L67)),"Bachelors",ISNUMBER(SEARCH("diplom",L67)),"Diploma", ISNUMBER(SEARCH("high",L67)),"High School",ISNUMBER(SEARCH("doctor",L67)),"Doctorate",TRUE, L67)</f>
        <v>Bachelors</v>
      </c>
      <c r="N67">
        <v>156</v>
      </c>
      <c r="O67">
        <v>81</v>
      </c>
      <c r="P67">
        <v>81</v>
      </c>
      <c r="Q67">
        <v>67</v>
      </c>
    </row>
    <row r="68" spans="1:17">
      <c r="A68" t="s">
        <v>163</v>
      </c>
      <c r="B68" t="s">
        <v>164</v>
      </c>
      <c r="C68" t="str">
        <f t="shared" si="1"/>
        <v>Anna Müller</v>
      </c>
      <c r="D68">
        <v>31</v>
      </c>
      <c r="E68" t="s">
        <v>13</v>
      </c>
      <c r="F68" t="str">
        <v>Female</v>
      </c>
      <c r="G68" t="s">
        <v>165</v>
      </c>
      <c r="H68" t="str">
        <v>Germany</v>
      </c>
      <c r="I68" t="s">
        <v>26</v>
      </c>
      <c r="J68" t="s">
        <v>26</v>
      </c>
      <c r="K68">
        <v>89</v>
      </c>
      <c r="L68" t="s">
        <v>16</v>
      </c>
      <c r="M68" t="str" cm="1">
        <f t="array" ref="M68">_xlfn.IFS(ISNUMBER(SEARCH("master",L68)),"Masters",ISNUMBER(SEARCH("bachelor",L68)),"Bachelors",ISNUMBER(SEARCH("diplom",L68)),"Diploma", ISNUMBER(SEARCH("high",L68)),"High School",ISNUMBER(SEARCH("doctor",L68)),"Doctorate",TRUE, L68)</f>
        <v>Masters</v>
      </c>
      <c r="N68">
        <v>160</v>
      </c>
      <c r="O68">
        <v>87</v>
      </c>
      <c r="P68">
        <v>87</v>
      </c>
      <c r="Q68">
        <v>61</v>
      </c>
    </row>
    <row r="69" spans="1:17">
      <c r="A69" t="s">
        <v>166</v>
      </c>
      <c r="B69" t="s">
        <v>167</v>
      </c>
      <c r="C69" t="str">
        <f t="shared" si="1"/>
        <v>Lucas Schmidt</v>
      </c>
      <c r="D69">
        <v>33</v>
      </c>
      <c r="E69" t="s">
        <v>24</v>
      </c>
      <c r="F69" t="str">
        <v>Male</v>
      </c>
      <c r="G69" t="s">
        <v>165</v>
      </c>
      <c r="H69" t="str">
        <v>Germany</v>
      </c>
      <c r="I69" t="s">
        <v>26</v>
      </c>
      <c r="J69" t="s">
        <v>26</v>
      </c>
      <c r="K69">
        <v>98</v>
      </c>
      <c r="L69" t="s">
        <v>16</v>
      </c>
      <c r="M69" t="str" cm="1">
        <f t="array" ref="M69">_xlfn.IFS(ISNUMBER(SEARCH("master",L69)),"Masters",ISNUMBER(SEARCH("bachelor",L69)),"Bachelors",ISNUMBER(SEARCH("diplom",L69)),"Diploma", ISNUMBER(SEARCH("high",L69)),"High School",ISNUMBER(SEARCH("doctor",L69)),"Doctorate",TRUE, L69)</f>
        <v>Masters</v>
      </c>
      <c r="N69">
        <v>160</v>
      </c>
      <c r="O69">
        <v>87</v>
      </c>
      <c r="P69">
        <v>87</v>
      </c>
      <c r="Q69">
        <v>86</v>
      </c>
    </row>
    <row r="70" spans="1:17">
      <c r="A70" t="s">
        <v>168</v>
      </c>
      <c r="B70" t="s">
        <v>169</v>
      </c>
      <c r="C70" t="str">
        <f t="shared" si="1"/>
        <v>Marie Dubois</v>
      </c>
      <c r="D70">
        <v>35</v>
      </c>
      <c r="E70" t="s">
        <v>13</v>
      </c>
      <c r="F70" t="str">
        <v>Female</v>
      </c>
      <c r="G70" t="s">
        <v>170</v>
      </c>
      <c r="H70" t="str">
        <v>France</v>
      </c>
      <c r="I70" t="s">
        <v>26</v>
      </c>
      <c r="J70" t="s">
        <v>26</v>
      </c>
      <c r="K70">
        <v>69</v>
      </c>
      <c r="L70" t="s">
        <v>44</v>
      </c>
      <c r="M70" t="str" cm="1">
        <f t="array" ref="M70">_xlfn.IFS(ISNUMBER(SEARCH("master",L70)),"Masters",ISNUMBER(SEARCH("bachelor",L70)),"Bachelors",ISNUMBER(SEARCH("diplom",L70)),"Diploma", ISNUMBER(SEARCH("high",L70)),"High School",ISNUMBER(SEARCH("doctor",L70)),"Doctorate",TRUE, L70)</f>
        <v>Bachelors</v>
      </c>
      <c r="N70">
        <v>144</v>
      </c>
      <c r="O70">
        <v>69</v>
      </c>
      <c r="P70">
        <v>69</v>
      </c>
      <c r="Q70">
        <v>45</v>
      </c>
    </row>
    <row r="71" spans="1:17">
      <c r="A71" t="s">
        <v>171</v>
      </c>
      <c r="B71" t="s">
        <v>172</v>
      </c>
      <c r="C71" t="str">
        <f t="shared" si="1"/>
        <v>Thomas García</v>
      </c>
      <c r="D71">
        <v>37</v>
      </c>
      <c r="E71" t="s">
        <v>24</v>
      </c>
      <c r="F71" t="str">
        <v>Male</v>
      </c>
      <c r="G71" t="s">
        <v>88</v>
      </c>
      <c r="H71" t="str">
        <v>Spain</v>
      </c>
      <c r="I71" t="s">
        <v>15</v>
      </c>
      <c r="J71" t="s">
        <v>15</v>
      </c>
      <c r="K71">
        <v>80</v>
      </c>
      <c r="L71" t="s">
        <v>44</v>
      </c>
      <c r="M71" t="str" cm="1">
        <f t="array" ref="M71">_xlfn.IFS(ISNUMBER(SEARCH("master",L71)),"Masters",ISNUMBER(SEARCH("bachelor",L71)),"Bachelors",ISNUMBER(SEARCH("diplom",L71)),"Diploma", ISNUMBER(SEARCH("high",L71)),"High School",ISNUMBER(SEARCH("doctor",L71)),"Doctorate",TRUE, L71)</f>
        <v>Bachelors</v>
      </c>
      <c r="N71">
        <v>152</v>
      </c>
      <c r="O71">
        <v>78</v>
      </c>
      <c r="P71">
        <v>78</v>
      </c>
      <c r="Q71">
        <v>62</v>
      </c>
    </row>
    <row r="72" spans="1:17">
      <c r="A72" t="s">
        <v>56</v>
      </c>
      <c r="B72" t="s">
        <v>173</v>
      </c>
      <c r="C72" t="str">
        <f t="shared" si="1"/>
        <v>Emma Janssen</v>
      </c>
      <c r="D72">
        <v>39</v>
      </c>
      <c r="E72" t="s">
        <v>13</v>
      </c>
      <c r="F72" t="str">
        <v>Female</v>
      </c>
      <c r="G72" t="s">
        <v>58</v>
      </c>
      <c r="H72" t="str">
        <v>Netherlands</v>
      </c>
      <c r="I72" t="s">
        <v>15</v>
      </c>
      <c r="J72" t="s">
        <v>15</v>
      </c>
      <c r="K72">
        <v>81</v>
      </c>
      <c r="L72" t="s">
        <v>16</v>
      </c>
      <c r="M72" t="str" cm="1">
        <f t="array" ref="M72">_xlfn.IFS(ISNUMBER(SEARCH("master",L72)),"Masters",ISNUMBER(SEARCH("bachelor",L72)),"Bachelors",ISNUMBER(SEARCH("diplom",L72)),"Diploma", ISNUMBER(SEARCH("high",L72)),"High School",ISNUMBER(SEARCH("doctor",L72)),"Doctorate",TRUE, L72)</f>
        <v>Masters</v>
      </c>
      <c r="N72">
        <v>160</v>
      </c>
      <c r="O72">
        <v>80</v>
      </c>
      <c r="P72">
        <v>80</v>
      </c>
      <c r="Q72">
        <v>71</v>
      </c>
    </row>
    <row r="73" spans="1:17">
      <c r="A73" t="s">
        <v>174</v>
      </c>
      <c r="B73" t="s">
        <v>175</v>
      </c>
      <c r="C73" t="str">
        <f t="shared" si="1"/>
        <v>Maximilan Martini</v>
      </c>
      <c r="D73">
        <v>50</v>
      </c>
      <c r="E73" t="s">
        <v>24</v>
      </c>
      <c r="F73" t="str">
        <v>Male</v>
      </c>
      <c r="G73" t="s">
        <v>71</v>
      </c>
      <c r="H73" t="str">
        <v>Italy</v>
      </c>
      <c r="I73" t="s">
        <v>15</v>
      </c>
      <c r="J73" t="s">
        <v>15</v>
      </c>
      <c r="K73">
        <v>74</v>
      </c>
      <c r="L73" t="s">
        <v>16</v>
      </c>
      <c r="M73" t="str" cm="1">
        <f t="array" ref="M73">_xlfn.IFS(ISNUMBER(SEARCH("master",L73)),"Masters",ISNUMBER(SEARCH("bachelor",L73)),"Bachelors",ISNUMBER(SEARCH("diplom",L73)),"Diploma", ISNUMBER(SEARCH("high",L73)),"High School",ISNUMBER(SEARCH("doctor",L73)),"Doctorate",TRUE, L73)</f>
        <v>Masters</v>
      </c>
      <c r="N73">
        <v>140</v>
      </c>
      <c r="O73">
        <v>63</v>
      </c>
      <c r="P73">
        <v>63</v>
      </c>
      <c r="Q73">
        <v>60</v>
      </c>
    </row>
    <row r="74" spans="1:17">
      <c r="A74" t="s">
        <v>176</v>
      </c>
      <c r="B74" t="s">
        <v>177</v>
      </c>
      <c r="C74" t="str">
        <f t="shared" si="1"/>
        <v>Clara Bernard</v>
      </c>
      <c r="D74">
        <v>43</v>
      </c>
      <c r="E74" t="s">
        <v>13</v>
      </c>
      <c r="F74" t="str">
        <v>Female</v>
      </c>
      <c r="G74" t="s">
        <v>170</v>
      </c>
      <c r="H74" t="str">
        <v>France</v>
      </c>
      <c r="I74" t="s">
        <v>15</v>
      </c>
      <c r="J74" t="s">
        <v>15</v>
      </c>
      <c r="K74">
        <v>80</v>
      </c>
      <c r="L74" t="s">
        <v>44</v>
      </c>
      <c r="M74" t="str" cm="1">
        <f t="array" ref="M74">_xlfn.IFS(ISNUMBER(SEARCH("master",L74)),"Masters",ISNUMBER(SEARCH("bachelor",L74)),"Bachelors",ISNUMBER(SEARCH("diplom",L74)),"Diploma", ISNUMBER(SEARCH("high",L74)),"High School",ISNUMBER(SEARCH("doctor",L74)),"Doctorate",TRUE, L74)</f>
        <v>Bachelors</v>
      </c>
      <c r="N74">
        <v>150</v>
      </c>
      <c r="O74">
        <v>75</v>
      </c>
      <c r="P74">
        <v>75</v>
      </c>
      <c r="Q74">
        <v>43</v>
      </c>
    </row>
    <row r="75" spans="1:17">
      <c r="A75" t="s">
        <v>178</v>
      </c>
      <c r="B75" t="s">
        <v>179</v>
      </c>
      <c r="C75" t="str">
        <f t="shared" si="1"/>
        <v>Julian Nielsen</v>
      </c>
      <c r="D75">
        <v>31</v>
      </c>
      <c r="E75" t="s">
        <v>24</v>
      </c>
      <c r="F75" t="str">
        <v>Male</v>
      </c>
      <c r="G75" t="s">
        <v>54</v>
      </c>
      <c r="H75" t="str">
        <v>Denmark</v>
      </c>
      <c r="I75" t="s">
        <v>26</v>
      </c>
      <c r="J75" t="s">
        <v>26</v>
      </c>
      <c r="K75">
        <v>90</v>
      </c>
      <c r="L75" t="s">
        <v>16</v>
      </c>
      <c r="M75" t="str" cm="1">
        <f t="array" ref="M75">_xlfn.IFS(ISNUMBER(SEARCH("master",L75)),"Masters",ISNUMBER(SEARCH("bachelor",L75)),"Bachelors",ISNUMBER(SEARCH("diplom",L75)),"Diploma", ISNUMBER(SEARCH("high",L75)),"High School",ISNUMBER(SEARCH("doctor",L75)),"Doctorate",TRUE, L75)</f>
        <v>Masters</v>
      </c>
      <c r="N75">
        <v>158</v>
      </c>
      <c r="O75">
        <v>84</v>
      </c>
      <c r="P75">
        <v>84</v>
      </c>
      <c r="Q75">
        <v>83</v>
      </c>
    </row>
    <row r="76" spans="1:17">
      <c r="A76" t="s">
        <v>180</v>
      </c>
      <c r="B76" t="s">
        <v>181</v>
      </c>
      <c r="C76" t="str">
        <f t="shared" si="1"/>
        <v>Sophie Brown</v>
      </c>
      <c r="D76">
        <v>33</v>
      </c>
      <c r="E76" t="s">
        <v>13</v>
      </c>
      <c r="F76" t="str">
        <v>Female</v>
      </c>
      <c r="G76" t="s">
        <v>124</v>
      </c>
      <c r="H76" t="str">
        <v>UK</v>
      </c>
      <c r="I76" t="s">
        <v>26</v>
      </c>
      <c r="J76" t="s">
        <v>26</v>
      </c>
      <c r="K76">
        <v>96</v>
      </c>
      <c r="L76" t="s">
        <v>16</v>
      </c>
      <c r="M76" t="str" cm="1">
        <f t="array" ref="M76">_xlfn.IFS(ISNUMBER(SEARCH("master",L76)),"Masters",ISNUMBER(SEARCH("bachelor",L76)),"Bachelors",ISNUMBER(SEARCH("diplom",L76)),"Diploma", ISNUMBER(SEARCH("high",L76)),"High School",ISNUMBER(SEARCH("doctor",L76)),"Doctorate",TRUE, L76)</f>
        <v>Masters</v>
      </c>
      <c r="N76">
        <v>158</v>
      </c>
      <c r="O76">
        <v>85</v>
      </c>
      <c r="P76">
        <v>85</v>
      </c>
      <c r="Q76">
        <v>90</v>
      </c>
    </row>
    <row r="77" spans="1:17">
      <c r="A77" t="s">
        <v>182</v>
      </c>
      <c r="B77" t="s">
        <v>183</v>
      </c>
      <c r="C77" t="str">
        <f t="shared" si="1"/>
        <v>Leon Bauer</v>
      </c>
      <c r="D77">
        <v>35</v>
      </c>
      <c r="E77" t="s">
        <v>24</v>
      </c>
      <c r="F77" t="str">
        <v>Male</v>
      </c>
      <c r="G77" t="s">
        <v>165</v>
      </c>
      <c r="H77" t="str">
        <v>Germany</v>
      </c>
      <c r="I77" t="s">
        <v>26</v>
      </c>
      <c r="J77" t="s">
        <v>26</v>
      </c>
      <c r="K77">
        <v>90</v>
      </c>
      <c r="L77" t="s">
        <v>16</v>
      </c>
      <c r="M77" t="str" cm="1">
        <f t="array" ref="M77">_xlfn.IFS(ISNUMBER(SEARCH("master",L77)),"Masters",ISNUMBER(SEARCH("bachelor",L77)),"Bachelors",ISNUMBER(SEARCH("diplom",L77)),"Diploma", ISNUMBER(SEARCH("high",L77)),"High School",ISNUMBER(SEARCH("doctor",L77)),"Doctorate",TRUE, L77)</f>
        <v>Masters</v>
      </c>
      <c r="N77">
        <v>160</v>
      </c>
      <c r="O77">
        <v>87</v>
      </c>
      <c r="P77">
        <v>87</v>
      </c>
      <c r="Q77">
        <v>74</v>
      </c>
    </row>
    <row r="78" spans="1:17">
      <c r="A78" t="s">
        <v>184</v>
      </c>
      <c r="B78" t="s">
        <v>185</v>
      </c>
      <c r="C78" t="str">
        <f t="shared" si="1"/>
        <v>Mohammed Salim</v>
      </c>
      <c r="D78">
        <v>31</v>
      </c>
      <c r="E78" t="s">
        <v>24</v>
      </c>
      <c r="F78" t="str">
        <v>Male</v>
      </c>
      <c r="G78" t="s">
        <v>140</v>
      </c>
      <c r="H78" t="str">
        <v>Somali</v>
      </c>
      <c r="I78" t="s">
        <v>26</v>
      </c>
      <c r="J78" t="s">
        <v>26</v>
      </c>
      <c r="K78">
        <v>35</v>
      </c>
      <c r="L78" t="s">
        <v>16</v>
      </c>
      <c r="M78" t="str" cm="1">
        <f t="array" ref="M78">_xlfn.IFS(ISNUMBER(SEARCH("master",L78)),"Masters",ISNUMBER(SEARCH("bachelor",L78)),"Bachelors",ISNUMBER(SEARCH("diplom",L78)),"Diploma", ISNUMBER(SEARCH("high",L78)),"High School",ISNUMBER(SEARCH("doctor",L78)),"Doctorate",TRUE, L78)</f>
        <v>Masters</v>
      </c>
      <c r="N78">
        <v>144</v>
      </c>
      <c r="O78">
        <v>72</v>
      </c>
      <c r="P78">
        <v>72</v>
      </c>
      <c r="Q78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90B8-EEF5-42D8-82AD-7F8576BC53DD}">
  <dimension ref="A1:A13"/>
  <sheetViews>
    <sheetView showGridLines="0" tabSelected="1" workbookViewId="0">
      <selection activeCell="A19" sqref="A19"/>
    </sheetView>
  </sheetViews>
  <sheetFormatPr defaultRowHeight="14.4"/>
  <cols>
    <col min="1" max="1" width="92.88671875" customWidth="1"/>
  </cols>
  <sheetData>
    <row r="1" spans="1:1" ht="62.4" customHeight="1">
      <c r="A1" t="s">
        <v>192</v>
      </c>
    </row>
    <row r="2" spans="1:1">
      <c r="A2" s="2"/>
    </row>
    <row r="3" spans="1:1">
      <c r="A3" s="3" t="s">
        <v>193</v>
      </c>
    </row>
    <row r="4" spans="1:1">
      <c r="A4" s="2"/>
    </row>
    <row r="5" spans="1:1">
      <c r="A5" s="3" t="s">
        <v>194</v>
      </c>
    </row>
    <row r="6" spans="1:1">
      <c r="A6" s="2"/>
    </row>
    <row r="7" spans="1:1">
      <c r="A7" s="3" t="s">
        <v>195</v>
      </c>
    </row>
    <row r="8" spans="1:1">
      <c r="A8" s="2"/>
    </row>
    <row r="9" spans="1:1">
      <c r="A9" s="3" t="s">
        <v>196</v>
      </c>
    </row>
    <row r="10" spans="1:1">
      <c r="A10" s="2"/>
    </row>
    <row r="11" spans="1:1">
      <c r="A11" s="3" t="s">
        <v>197</v>
      </c>
    </row>
    <row r="12" spans="1:1">
      <c r="A12" s="2"/>
    </row>
    <row r="13" spans="1:1">
      <c r="A13" s="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bi_raw</vt:lpstr>
      <vt:lpstr>bi_working</vt:lpstr>
      <vt:lpstr>Notes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Wiltz</dc:creator>
  <cp:lastModifiedBy>Felicia Wiltz</cp:lastModifiedBy>
  <dcterms:created xsi:type="dcterms:W3CDTF">2026-02-04T21:33:50Z</dcterms:created>
  <dcterms:modified xsi:type="dcterms:W3CDTF">2026-02-04T21:33:50Z</dcterms:modified>
</cp:coreProperties>
</file>