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iltz\Documents\Audit Folder\Training Materials\Compliance Auditor Training\datasets\"/>
    </mc:Choice>
  </mc:AlternateContent>
  <xr:revisionPtr revIDLastSave="0" documentId="13_ncr:1_{62E59FD2-A2ED-4F0C-864D-3ADDDA600C81}" xr6:coauthVersionLast="47" xr6:coauthVersionMax="47" xr10:uidLastSave="{00000000-0000-0000-0000-000000000000}"/>
  <bookViews>
    <workbookView xWindow="-108" yWindow="-108" windowWidth="23256" windowHeight="12456" firstSheet="2" activeTab="6" xr2:uid="{F4914CFB-A072-4F4A-9B65-6894BD7DF6E2}"/>
  </bookViews>
  <sheets>
    <sheet name="Raw Data" sheetId="11" r:id="rId1"/>
    <sheet name="Cleaned Data" sheetId="12" r:id="rId2"/>
    <sheet name="Pivot Table 1 " sheetId="14" r:id="rId3"/>
    <sheet name="Pivot Table 2" sheetId="15" r:id="rId4"/>
    <sheet name="Pivot Table 3" sheetId="16" r:id="rId5"/>
    <sheet name="Pivot Table 4" sheetId="17" r:id="rId6"/>
    <sheet name="Dashboard" sheetId="10" r:id="rId7"/>
  </sheets>
  <calcPr calcId="191029"/>
  <pivotCaches>
    <pivotCache cacheId="11" r:id="rId8"/>
    <pivotCache cacheId="15" r:id="rId9"/>
    <pivotCache cacheId="19" r:id="rId10"/>
    <pivotCache cacheId="2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85C7A2-DF05-4F48-B7CF-4FEF27C74626}" keepAlive="1" name="Query - 30 day Readmission per dept p1" description="Connection to the '30 day Readmission per dept p1' query in the workbook." type="5" refreshedVersion="8" background="1" saveData="1">
    <dbPr connection="Provider=Microsoft.Mashup.OleDb.1;Data Source=$Workbook$;Location=&quot;30 day Readmission per dept p1&quot;;Extended Properties=&quot;&quot;" command="SELECT * FROM [30 day Readmission per dept p1]"/>
  </connection>
  <connection id="2" xr16:uid="{6B632F7F-67DF-45CE-A512-20F8C88E3612}" keepAlive="1" name="Query - Avg Los Per Dept  p1" description="Connection to the 'Avg Los Per Dept  p1' query in the workbook." type="5" refreshedVersion="8" background="1" saveData="1">
    <dbPr connection="Provider=Microsoft.Mashup.OleDb.1;Data Source=$Workbook$;Location=&quot;Avg Los Per Dept  p1&quot;;Extended Properties=&quot;&quot;" command="SELECT * FROM [Avg Los Per Dept  p1]"/>
  </connection>
  <connection id="3" xr16:uid="{2D880945-6144-402F-832D-3474FAA0B8D2}" keepAlive="1" name="Query - patient count by age group p1" description="Connection to the 'patient count by age group p1' query in the workbook." type="5" refreshedVersion="8" background="1" saveData="1">
    <dbPr connection="Provider=Microsoft.Mashup.OleDb.1;Data Source=$Workbook$;Location=&quot;patient count by age group p1&quot;;Extended Properties=&quot;&quot;" command="SELECT * FROM [patient count by age group p1]"/>
  </connection>
  <connection id="4" xr16:uid="{0EA7F6E8-4E42-4021-BFC2-9B341224A42F}" keepAlive="1" name="Query - patient count by gender p1" description="Connection to the 'patient count by gender p1' query in the workbook." type="5" refreshedVersion="8" background="1" saveData="1">
    <dbPr connection="Provider=Microsoft.Mashup.OleDb.1;Data Source=$Workbook$;Location=&quot;patient count by gender p1&quot;;Extended Properties=&quot;&quot;" command="SELECT * FROM [patient count by gender p1]"/>
  </connection>
</connections>
</file>

<file path=xl/sharedStrings.xml><?xml version="1.0" encoding="utf-8"?>
<sst xmlns="http://schemas.openxmlformats.org/spreadsheetml/2006/main" count="38" uniqueCount="29">
  <si>
    <t>ICU</t>
  </si>
  <si>
    <t>Cardiology</t>
  </si>
  <si>
    <t>Oncology</t>
  </si>
  <si>
    <t>General Medicine</t>
  </si>
  <si>
    <t>Orthopedics</t>
  </si>
  <si>
    <t>Emergency</t>
  </si>
  <si>
    <t>Pediatrics</t>
  </si>
  <si>
    <t>Row Labels</t>
  </si>
  <si>
    <t>Grand Total</t>
  </si>
  <si>
    <t>Under 18</t>
  </si>
  <si>
    <t>75+</t>
  </si>
  <si>
    <t>Female</t>
  </si>
  <si>
    <t>Male</t>
  </si>
  <si>
    <t>Sum of Patient_Count</t>
  </si>
  <si>
    <t>LOS Insight</t>
  </si>
  <si>
    <t>Cardiology and ICU have the highest average length of stay, suggesting potential inefficiencies in patient management and discharge processes.</t>
  </si>
  <si>
    <t>Readmission Insight</t>
  </si>
  <si>
    <t>ICU and Cardiology departments show elevated readmission rates, indicating possible gaps in post-discharge care and follow-up.</t>
  </si>
  <si>
    <t>Age Insight</t>
  </si>
  <si>
    <t>Older patients (75+) represent a significant portion of hospital utilization and are associated with longer stays and higher readmission risk.</t>
  </si>
  <si>
    <t>Gender Insight</t>
  </si>
  <si>
    <t>Patient distribution is relatively balanced across gender, indicating no major demographic skew.</t>
  </si>
  <si>
    <t>56–75</t>
  </si>
  <si>
    <t>36–55</t>
  </si>
  <si>
    <t>18–35</t>
  </si>
  <si>
    <t>Sum of Count</t>
  </si>
  <si>
    <t>Others</t>
  </si>
  <si>
    <t>Sum of Readmission %</t>
  </si>
  <si>
    <t>Sum of Avg 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</si>
</sst>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[healthcare_dataset_excel.xlsx]Pivot Table 1 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Distrubution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273403324584423E-3"/>
              <c:y val="4.38688393117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202537182852137E-3"/>
              <c:y val="-9.4259259259259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273403324584423E-3"/>
              <c:y val="4.38688393117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202537182852137E-3"/>
              <c:y val="-9.4259259259259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273403324584423E-3"/>
              <c:y val="4.38688393117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202537182852137E-3"/>
              <c:y val="-9.4259259259259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273403324584423E-3"/>
              <c:y val="4.38688393117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202537182852137E-3"/>
              <c:y val="-9.4259259259259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273403324584423E-3"/>
              <c:y val="4.38688393117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202537182852137E-3"/>
              <c:y val="-9.4259259259259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1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FE-45B8-8CBF-42D2703D41B3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FE-45B8-8CBF-42D2703D41B3}"/>
              </c:ext>
            </c:extLst>
          </c:dPt>
          <c:dLbls>
            <c:dLbl>
              <c:idx val="0"/>
              <c:layout>
                <c:manualLayout>
                  <c:x val="-8.5273403324584423E-3"/>
                  <c:y val="4.386883931175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FE-45B8-8CBF-42D2703D41B3}"/>
                </c:ext>
              </c:extLst>
            </c:dLbl>
            <c:dLbl>
              <c:idx val="1"/>
              <c:layout>
                <c:manualLayout>
                  <c:x val="9.2202537182852137E-3"/>
                  <c:y val="-9.42592592592592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FE-45B8-8CBF-42D2703D41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 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1 '!$B$4:$B$6</c:f>
              <c:numCache>
                <c:formatCode>0.00%</c:formatCode>
                <c:ptCount val="2"/>
                <c:pt idx="0">
                  <c:v>0.52</c:v>
                </c:pt>
                <c:pt idx="1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FE-45B8-8CBF-42D2703D41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[healthcare_dataset_excel.xlsx]Pivot Table 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2'!$A$4:$A$9</c:f>
              <c:strCache>
                <c:ptCount val="5"/>
                <c:pt idx="0">
                  <c:v>18–35</c:v>
                </c:pt>
                <c:pt idx="1">
                  <c:v>36–55</c:v>
                </c:pt>
                <c:pt idx="2">
                  <c:v>56–75</c:v>
                </c:pt>
                <c:pt idx="3">
                  <c:v>75+</c:v>
                </c:pt>
                <c:pt idx="4">
                  <c:v>Under 18</c:v>
                </c:pt>
              </c:strCache>
            </c:strRef>
          </c:cat>
          <c:val>
            <c:numRef>
              <c:f>'Pivot Table 2'!$B$4:$B$9</c:f>
              <c:numCache>
                <c:formatCode>General</c:formatCode>
                <c:ptCount val="5"/>
                <c:pt idx="0">
                  <c:v>900</c:v>
                </c:pt>
                <c:pt idx="1">
                  <c:v>1100</c:v>
                </c:pt>
                <c:pt idx="2">
                  <c:v>1500</c:v>
                </c:pt>
                <c:pt idx="3">
                  <c:v>1200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1-4FCB-82EC-63237B7C9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133855"/>
        <c:axId val="798756191"/>
      </c:barChart>
      <c:catAx>
        <c:axId val="92513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56191"/>
        <c:crosses val="autoZero"/>
        <c:auto val="1"/>
        <c:lblAlgn val="ctr"/>
        <c:lblOffset val="100"/>
        <c:noMultiLvlLbl val="0"/>
      </c:catAx>
      <c:valAx>
        <c:axId val="79875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3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[healthcare_dataset_excel.xlsx]Pivot Table 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Readmission</a:t>
            </a:r>
            <a:r>
              <a:rPr lang="en-US" baseline="0"/>
              <a:t> Rate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3'!$A$4:$A$8</c:f>
              <c:strCache>
                <c:ptCount val="4"/>
                <c:pt idx="0">
                  <c:v>Cardiology</c:v>
                </c:pt>
                <c:pt idx="1">
                  <c:v>ICU</c:v>
                </c:pt>
                <c:pt idx="2">
                  <c:v>Oncology</c:v>
                </c:pt>
                <c:pt idx="3">
                  <c:v>Others</c:v>
                </c:pt>
              </c:strCache>
            </c:strRef>
          </c:cat>
          <c:val>
            <c:numRef>
              <c:f>'Pivot Table 3'!$B$4:$B$8</c:f>
              <c:numCache>
                <c:formatCode>0%</c:formatCode>
                <c:ptCount val="4"/>
                <c:pt idx="0">
                  <c:v>0.33</c:v>
                </c:pt>
                <c:pt idx="1">
                  <c:v>0.4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0-4A84-89F2-CCBAA05A26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3932080"/>
        <c:axId val="33934480"/>
      </c:barChart>
      <c:catAx>
        <c:axId val="3393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4480"/>
        <c:crosses val="autoZero"/>
        <c:auto val="1"/>
        <c:lblAlgn val="ctr"/>
        <c:lblOffset val="100"/>
        <c:noMultiLvlLbl val="0"/>
      </c:catAx>
      <c:valAx>
        <c:axId val="3393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[healthcare_dataset_excel.xlsx]Pivot Table 4!PivotTable5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4'!$A$4:$A$11</c:f>
              <c:strCache>
                <c:ptCount val="7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Oncology</c:v>
                </c:pt>
                <c:pt idx="5">
                  <c:v>Orthopedics</c:v>
                </c:pt>
                <c:pt idx="6">
                  <c:v>Pediatrics</c:v>
                </c:pt>
              </c:strCache>
            </c:strRef>
          </c:cat>
          <c:val>
            <c:numRef>
              <c:f>'Pivot Table 4'!$B$4:$B$11</c:f>
              <c:numCache>
                <c:formatCode>General</c:formatCode>
                <c:ptCount val="7"/>
                <c:pt idx="0">
                  <c:v>7.5</c:v>
                </c:pt>
                <c:pt idx="1">
                  <c:v>1.8</c:v>
                </c:pt>
                <c:pt idx="2">
                  <c:v>4.3</c:v>
                </c:pt>
                <c:pt idx="3">
                  <c:v>7.2</c:v>
                </c:pt>
                <c:pt idx="4">
                  <c:v>5.0999999999999996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A-440E-87CB-12396D7FEA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0035007"/>
        <c:axId val="918427167"/>
      </c:barChart>
      <c:catAx>
        <c:axId val="116003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27167"/>
        <c:crosses val="autoZero"/>
        <c:auto val="1"/>
        <c:lblAlgn val="ctr"/>
        <c:lblOffset val="100"/>
        <c:noMultiLvlLbl val="0"/>
      </c:catAx>
      <c:valAx>
        <c:axId val="91842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03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[healthcare_dataset_excel.xlsx]Pivot Table 1 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Distrubution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273403324584423E-3"/>
              <c:y val="4.38688393117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202537182852137E-3"/>
              <c:y val="-9.4259259259259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273403324584423E-3"/>
              <c:y val="4.38688393117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202537182852137E-3"/>
              <c:y val="-9.4259259259259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273403324584423E-3"/>
              <c:y val="4.38688393117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2202537182852137E-3"/>
              <c:y val="-9.4259259259259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1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62-4A6E-B1A7-4B9878B9B466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62-4A6E-B1A7-4B9878B9B466}"/>
              </c:ext>
            </c:extLst>
          </c:dPt>
          <c:dLbls>
            <c:dLbl>
              <c:idx val="0"/>
              <c:layout>
                <c:manualLayout>
                  <c:x val="-8.5273403324584423E-3"/>
                  <c:y val="4.386883931175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62-4A6E-B1A7-4B9878B9B466}"/>
                </c:ext>
              </c:extLst>
            </c:dLbl>
            <c:dLbl>
              <c:idx val="1"/>
              <c:layout>
                <c:manualLayout>
                  <c:x val="9.2202537182852137E-3"/>
                  <c:y val="-9.42592592592592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62-4A6E-B1A7-4B9878B9B4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 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1 '!$B$4:$B$6</c:f>
              <c:numCache>
                <c:formatCode>0.00%</c:formatCode>
                <c:ptCount val="2"/>
                <c:pt idx="0">
                  <c:v>0.52</c:v>
                </c:pt>
                <c:pt idx="1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62-4A6E-B1A7-4B9878B9B4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[healthcare_dataset_excel.xlsx]Pivot Table 2!PivotTable3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2'!$A$4:$A$9</c:f>
              <c:strCache>
                <c:ptCount val="5"/>
                <c:pt idx="0">
                  <c:v>18–35</c:v>
                </c:pt>
                <c:pt idx="1">
                  <c:v>36–55</c:v>
                </c:pt>
                <c:pt idx="2">
                  <c:v>56–75</c:v>
                </c:pt>
                <c:pt idx="3">
                  <c:v>75+</c:v>
                </c:pt>
                <c:pt idx="4">
                  <c:v>Under 18</c:v>
                </c:pt>
              </c:strCache>
            </c:strRef>
          </c:cat>
          <c:val>
            <c:numRef>
              <c:f>'Pivot Table 2'!$B$4:$B$9</c:f>
              <c:numCache>
                <c:formatCode>General</c:formatCode>
                <c:ptCount val="5"/>
                <c:pt idx="0">
                  <c:v>900</c:v>
                </c:pt>
                <c:pt idx="1">
                  <c:v>1100</c:v>
                </c:pt>
                <c:pt idx="2">
                  <c:v>1500</c:v>
                </c:pt>
                <c:pt idx="3">
                  <c:v>1200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6-4091-931F-FACC32CAEE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5133855"/>
        <c:axId val="798756191"/>
      </c:barChart>
      <c:catAx>
        <c:axId val="92513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56191"/>
        <c:crosses val="autoZero"/>
        <c:auto val="1"/>
        <c:lblAlgn val="ctr"/>
        <c:lblOffset val="100"/>
        <c:noMultiLvlLbl val="0"/>
      </c:catAx>
      <c:valAx>
        <c:axId val="79875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3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[healthcare_dataset_excel.xlsx]Pivot Table 3!PivotTable4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Readmission</a:t>
            </a:r>
            <a:r>
              <a:rPr lang="en-US" baseline="0"/>
              <a:t> Rate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3'!$A$4:$A$8</c:f>
              <c:strCache>
                <c:ptCount val="4"/>
                <c:pt idx="0">
                  <c:v>Cardiology</c:v>
                </c:pt>
                <c:pt idx="1">
                  <c:v>ICU</c:v>
                </c:pt>
                <c:pt idx="2">
                  <c:v>Oncology</c:v>
                </c:pt>
                <c:pt idx="3">
                  <c:v>Others</c:v>
                </c:pt>
              </c:strCache>
            </c:strRef>
          </c:cat>
          <c:val>
            <c:numRef>
              <c:f>'Pivot Table 3'!$B$4:$B$8</c:f>
              <c:numCache>
                <c:formatCode>0%</c:formatCode>
                <c:ptCount val="4"/>
                <c:pt idx="0">
                  <c:v>0.33</c:v>
                </c:pt>
                <c:pt idx="1">
                  <c:v>0.4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F-43AA-A4C4-ECEB48803D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3932080"/>
        <c:axId val="33934480"/>
      </c:barChart>
      <c:catAx>
        <c:axId val="3393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4480"/>
        <c:crosses val="autoZero"/>
        <c:auto val="1"/>
        <c:lblAlgn val="ctr"/>
        <c:lblOffset val="100"/>
        <c:noMultiLvlLbl val="0"/>
      </c:catAx>
      <c:valAx>
        <c:axId val="3393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[healthcare_dataset_excel.xlsx]Pivot Table 4!PivotTable5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4'!$A$4:$A$11</c:f>
              <c:strCache>
                <c:ptCount val="7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Oncology</c:v>
                </c:pt>
                <c:pt idx="5">
                  <c:v>Orthopedics</c:v>
                </c:pt>
                <c:pt idx="6">
                  <c:v>Pediatrics</c:v>
                </c:pt>
              </c:strCache>
            </c:strRef>
          </c:cat>
          <c:val>
            <c:numRef>
              <c:f>'Pivot Table 4'!$B$4:$B$11</c:f>
              <c:numCache>
                <c:formatCode>General</c:formatCode>
                <c:ptCount val="7"/>
                <c:pt idx="0">
                  <c:v>7.5</c:v>
                </c:pt>
                <c:pt idx="1">
                  <c:v>1.8</c:v>
                </c:pt>
                <c:pt idx="2">
                  <c:v>4.3</c:v>
                </c:pt>
                <c:pt idx="3">
                  <c:v>7.2</c:v>
                </c:pt>
                <c:pt idx="4">
                  <c:v>5.0999999999999996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0-4AC5-B2FE-85D49D86FF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0035007"/>
        <c:axId val="918427167"/>
      </c:barChart>
      <c:catAx>
        <c:axId val="116003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27167"/>
        <c:crosses val="autoZero"/>
        <c:auto val="1"/>
        <c:lblAlgn val="ctr"/>
        <c:lblOffset val="100"/>
        <c:noMultiLvlLbl val="0"/>
      </c:catAx>
      <c:valAx>
        <c:axId val="91842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03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7</xdr:row>
      <xdr:rowOff>83820</xdr:rowOff>
    </xdr:from>
    <xdr:to>
      <xdr:col>9</xdr:col>
      <xdr:colOff>350520</xdr:colOff>
      <xdr:row>24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A2E198-30E0-4FE4-97DE-3E1AF2EF4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87630</xdr:rowOff>
    </xdr:from>
    <xdr:to>
      <xdr:col>11</xdr:col>
      <xdr:colOff>457200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C1242-550A-8B5A-0344-25939556A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4</xdr:row>
      <xdr:rowOff>87630</xdr:rowOff>
    </xdr:from>
    <xdr:to>
      <xdr:col>11</xdr:col>
      <xdr:colOff>518160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8942D-F039-8CAB-4CD4-4683F8691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6</xdr:row>
      <xdr:rowOff>41910</xdr:rowOff>
    </xdr:from>
    <xdr:to>
      <xdr:col>11</xdr:col>
      <xdr:colOff>236220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9FE5D5-4C8E-4490-598D-82EECB038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152400</xdr:rowOff>
    </xdr:from>
    <xdr:to>
      <xdr:col>6</xdr:col>
      <xdr:colOff>533400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C58BB8-A971-45FA-98BC-2A36818BA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7</xdr:col>
      <xdr:colOff>175260</xdr:colOff>
      <xdr:row>14</xdr:row>
      <xdr:rowOff>129540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41956A-A33F-4772-ADAD-0762BEA04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434340</xdr:colOff>
      <xdr:row>1</xdr:row>
      <xdr:rowOff>0</xdr:rowOff>
    </xdr:from>
    <xdr:to>
      <xdr:col>15</xdr:col>
      <xdr:colOff>304800</xdr:colOff>
      <xdr:row>14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C935504-BEF8-45AF-84D0-8AD1DF2A2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335280</xdr:colOff>
      <xdr:row>16</xdr:row>
      <xdr:rowOff>0</xdr:rowOff>
    </xdr:from>
    <xdr:to>
      <xdr:col>15</xdr:col>
      <xdr:colOff>304800</xdr:colOff>
      <xdr:row>32</xdr:row>
      <xdr:rowOff>137160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292A2E2-BB9A-4A3D-8EDA-F29F5DB4D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05.654116666665" createdVersion="8" refreshedVersion="8" minRefreshableVersion="3" recordCount="2" xr:uid="{2955561F-A149-41E0-99B7-76D3991CE937}">
  <cacheSource type="worksheet">
    <worksheetSource name="patient_count_by_gender_p1"/>
  </cacheSource>
  <cacheFields count="2">
    <cacheField name="Gender" numFmtId="0">
      <sharedItems count="2">
        <s v="Female"/>
        <s v="Male"/>
      </sharedItems>
    </cacheField>
    <cacheField name="Patient_Count" numFmtId="0">
      <sharedItems containsSemiMixedTypes="0" containsString="0" containsNumber="1" containsInteger="1" minValue="2400" maxValue="2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05.6569318287" createdVersion="8" refreshedVersion="8" minRefreshableVersion="3" recordCount="5" xr:uid="{8E909E78-B773-4C1C-84E2-16176C7BECD2}">
  <cacheSource type="worksheet">
    <worksheetSource name="patient_count_by_age_group_p1"/>
  </cacheSource>
  <cacheFields count="2">
    <cacheField name="Age Group" numFmtId="0">
      <sharedItems count="5">
        <s v="75+"/>
        <s v="56–75"/>
        <s v="36–55"/>
        <s v="18–35"/>
        <s v="Under 18"/>
      </sharedItems>
    </cacheField>
    <cacheField name="Count" numFmtId="0">
      <sharedItems containsSemiMixedTypes="0" containsString="0" containsNumber="1" containsInteger="1" minValue="3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05.659186574077" createdVersion="8" refreshedVersion="8" minRefreshableVersion="3" recordCount="4" xr:uid="{9FFF5704-C7E7-47AA-A5D7-864274DD49DD}">
  <cacheSource type="worksheet">
    <worksheetSource name="_30_day_Readmission_per_dept_p1"/>
  </cacheSource>
  <cacheFields count="2">
    <cacheField name="Department" numFmtId="0">
      <sharedItems count="4">
        <s v="ICU"/>
        <s v="Cardiology"/>
        <s v="Oncology"/>
        <s v="Others"/>
      </sharedItems>
    </cacheField>
    <cacheField name="Readmission %" numFmtId="9">
      <sharedItems containsSemiMixedTypes="0" containsString="0" containsNumber="1" minValue="0.1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05.662789467591" createdVersion="8" refreshedVersion="8" minRefreshableVersion="3" recordCount="7" xr:uid="{3CBAAFB9-4575-4750-8461-83BBD7CD7CD1}">
  <cacheSource type="worksheet">
    <worksheetSource name="Avg_Los_Per_Dept__p1"/>
  </cacheSource>
  <cacheFields count="2">
    <cacheField name="Department" numFmtId="0">
      <sharedItems count="7">
        <s v="Cardiology"/>
        <s v="ICU"/>
        <s v="Oncology"/>
        <s v="General Medicine"/>
        <s v="Orthopedics"/>
        <s v="Pediatrics"/>
        <s v="Emergency"/>
      </sharedItems>
    </cacheField>
    <cacheField name="Avg LOS" numFmtId="0">
      <sharedItems containsSemiMixedTypes="0" containsString="0" containsNumber="1" minValue="1.8" maxValue="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600"/>
  </r>
  <r>
    <x v="1"/>
    <n v="24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200"/>
  </r>
  <r>
    <x v="1"/>
    <n v="1500"/>
  </r>
  <r>
    <x v="2"/>
    <n v="1100"/>
  </r>
  <r>
    <x v="3"/>
    <n v="900"/>
  </r>
  <r>
    <x v="4"/>
    <n v="3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4"/>
  </r>
  <r>
    <x v="1"/>
    <n v="0.33"/>
  </r>
  <r>
    <x v="2"/>
    <n v="0.2"/>
  </r>
  <r>
    <x v="3"/>
    <n v="0.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7.5"/>
  </r>
  <r>
    <x v="1"/>
    <n v="7.2"/>
  </r>
  <r>
    <x v="2"/>
    <n v="5.0999999999999996"/>
  </r>
  <r>
    <x v="3"/>
    <n v="4.3"/>
  </r>
  <r>
    <x v="4"/>
    <n v="3"/>
  </r>
  <r>
    <x v="5"/>
    <n v="2"/>
  </r>
  <r>
    <x v="6"/>
    <n v="1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1956F-DFA9-4FD2-9AE6-210511EFFCF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atient_Count" fld="1" showDataAs="percentOfTotal" baseField="0" baseItem="0" numFmtId="10"/>
  </dataFields>
  <chartFormats count="6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2B27A-D8DC-4BC9-9F7A-626B33706975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2">
    <pivotField axis="axisRow" showAll="0">
      <items count="6">
        <item x="3"/>
        <item x="2"/>
        <item x="1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unt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40C4D-F319-4389-AD05-D2F89E22FC5E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">
    <pivotField axis="axisRow" showAll="0">
      <items count="5">
        <item x="1"/>
        <item x="0"/>
        <item x="2"/>
        <item x="3"/>
        <item t="default"/>
      </items>
    </pivotField>
    <pivotField dataField="1"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admission %" fld="1" baseField="0" baseItem="0" numFmtId="9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98199-C661-480D-9B9E-4761E09E9A62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2">
    <pivotField axis="axisRow" showAll="0">
      <items count="8">
        <item x="0"/>
        <item x="6"/>
        <item x="3"/>
        <item x="1"/>
        <item x="2"/>
        <item x="4"/>
        <item x="5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vg LOS" fld="1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3392-61B8-4461-820F-F997E3157D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0EA0-F29E-4CD1-B47B-229B3518F527}">
  <dimension ref="A1"/>
  <sheetViews>
    <sheetView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88CE-0C1E-4E45-93BC-0AF3E9176889}">
  <dimension ref="A3:B6"/>
  <sheetViews>
    <sheetView workbookViewId="0">
      <selection activeCell="N12" sqref="N12"/>
    </sheetView>
  </sheetViews>
  <sheetFormatPr defaultRowHeight="14.4" x14ac:dyDescent="0.3"/>
  <cols>
    <col min="1" max="1" width="12.44140625" bestFit="1" customWidth="1"/>
    <col min="2" max="2" width="18.88671875" bestFit="1" customWidth="1"/>
  </cols>
  <sheetData>
    <row r="3" spans="1:2" x14ac:dyDescent="0.3">
      <c r="A3" s="1" t="s">
        <v>7</v>
      </c>
      <c r="B3" t="s">
        <v>13</v>
      </c>
    </row>
    <row r="4" spans="1:2" x14ac:dyDescent="0.3">
      <c r="A4" s="2" t="s">
        <v>11</v>
      </c>
      <c r="B4" s="6">
        <v>0.52</v>
      </c>
    </row>
    <row r="5" spans="1:2" x14ac:dyDescent="0.3">
      <c r="A5" s="2" t="s">
        <v>12</v>
      </c>
      <c r="B5" s="6">
        <v>0.48</v>
      </c>
    </row>
    <row r="6" spans="1:2" x14ac:dyDescent="0.3">
      <c r="A6" s="2" t="s">
        <v>8</v>
      </c>
      <c r="B6" s="6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121D-81E9-46D3-A114-6C1C12C3B64A}">
  <dimension ref="A3:B9"/>
  <sheetViews>
    <sheetView workbookViewId="0">
      <selection activeCell="G24" sqref="G24"/>
    </sheetView>
  </sheetViews>
  <sheetFormatPr defaultRowHeight="14.4" x14ac:dyDescent="0.3"/>
  <cols>
    <col min="1" max="1" width="12.44140625" bestFit="1" customWidth="1"/>
    <col min="2" max="2" width="11.88671875" bestFit="1" customWidth="1"/>
  </cols>
  <sheetData>
    <row r="3" spans="1:2" x14ac:dyDescent="0.3">
      <c r="A3" s="1" t="s">
        <v>7</v>
      </c>
      <c r="B3" t="s">
        <v>25</v>
      </c>
    </row>
    <row r="4" spans="1:2" x14ac:dyDescent="0.3">
      <c r="A4" s="2" t="s">
        <v>24</v>
      </c>
      <c r="B4" s="5">
        <v>900</v>
      </c>
    </row>
    <row r="5" spans="1:2" x14ac:dyDescent="0.3">
      <c r="A5" s="2" t="s">
        <v>23</v>
      </c>
      <c r="B5" s="5">
        <v>1100</v>
      </c>
    </row>
    <row r="6" spans="1:2" x14ac:dyDescent="0.3">
      <c r="A6" s="2" t="s">
        <v>22</v>
      </c>
      <c r="B6" s="5">
        <v>1500</v>
      </c>
    </row>
    <row r="7" spans="1:2" x14ac:dyDescent="0.3">
      <c r="A7" s="2" t="s">
        <v>10</v>
      </c>
      <c r="B7" s="5">
        <v>1200</v>
      </c>
    </row>
    <row r="8" spans="1:2" x14ac:dyDescent="0.3">
      <c r="A8" s="2" t="s">
        <v>9</v>
      </c>
      <c r="B8" s="5">
        <v>300</v>
      </c>
    </row>
    <row r="9" spans="1:2" x14ac:dyDescent="0.3">
      <c r="A9" s="2" t="s">
        <v>8</v>
      </c>
      <c r="B9" s="5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D4FA-370F-431E-8F5B-7E366C6A4B0B}">
  <dimension ref="A3:B8"/>
  <sheetViews>
    <sheetView workbookViewId="0">
      <selection activeCell="N17" sqref="N17"/>
    </sheetView>
  </sheetViews>
  <sheetFormatPr defaultRowHeight="14.4" x14ac:dyDescent="0.3"/>
  <cols>
    <col min="1" max="1" width="12.44140625" bestFit="1" customWidth="1"/>
    <col min="2" max="2" width="19.88671875" bestFit="1" customWidth="1"/>
  </cols>
  <sheetData>
    <row r="3" spans="1:2" x14ac:dyDescent="0.3">
      <c r="A3" s="1" t="s">
        <v>7</v>
      </c>
      <c r="B3" t="s">
        <v>27</v>
      </c>
    </row>
    <row r="4" spans="1:2" x14ac:dyDescent="0.3">
      <c r="A4" s="2" t="s">
        <v>1</v>
      </c>
      <c r="B4" s="7">
        <v>0.33</v>
      </c>
    </row>
    <row r="5" spans="1:2" x14ac:dyDescent="0.3">
      <c r="A5" s="2" t="s">
        <v>0</v>
      </c>
      <c r="B5" s="7">
        <v>0.4</v>
      </c>
    </row>
    <row r="6" spans="1:2" x14ac:dyDescent="0.3">
      <c r="A6" s="2" t="s">
        <v>2</v>
      </c>
      <c r="B6" s="7">
        <v>0.2</v>
      </c>
    </row>
    <row r="7" spans="1:2" x14ac:dyDescent="0.3">
      <c r="A7" s="2" t="s">
        <v>26</v>
      </c>
      <c r="B7" s="7">
        <v>0.1</v>
      </c>
    </row>
    <row r="8" spans="1:2" x14ac:dyDescent="0.3">
      <c r="A8" s="2" t="s">
        <v>8</v>
      </c>
      <c r="B8" s="7">
        <v>1.03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21E2-E7FC-404D-AD8B-CE50EB744CE2}">
  <dimension ref="A3:B11"/>
  <sheetViews>
    <sheetView workbookViewId="0">
      <selection activeCell="O21" sqref="O21"/>
    </sheetView>
  </sheetViews>
  <sheetFormatPr defaultRowHeight="14.4" x14ac:dyDescent="0.3"/>
  <cols>
    <col min="1" max="1" width="15.21875" bestFit="1" customWidth="1"/>
    <col min="2" max="2" width="13.6640625" bestFit="1" customWidth="1"/>
  </cols>
  <sheetData>
    <row r="3" spans="1:2" x14ac:dyDescent="0.3">
      <c r="A3" s="1" t="s">
        <v>7</v>
      </c>
      <c r="B3" t="s">
        <v>28</v>
      </c>
    </row>
    <row r="4" spans="1:2" x14ac:dyDescent="0.3">
      <c r="A4" s="2" t="s">
        <v>1</v>
      </c>
      <c r="B4" s="5">
        <v>7.5</v>
      </c>
    </row>
    <row r="5" spans="1:2" x14ac:dyDescent="0.3">
      <c r="A5" s="2" t="s">
        <v>5</v>
      </c>
      <c r="B5" s="5">
        <v>1.8</v>
      </c>
    </row>
    <row r="6" spans="1:2" x14ac:dyDescent="0.3">
      <c r="A6" s="2" t="s">
        <v>3</v>
      </c>
      <c r="B6" s="5">
        <v>4.3</v>
      </c>
    </row>
    <row r="7" spans="1:2" x14ac:dyDescent="0.3">
      <c r="A7" s="2" t="s">
        <v>0</v>
      </c>
      <c r="B7" s="5">
        <v>7.2</v>
      </c>
    </row>
    <row r="8" spans="1:2" x14ac:dyDescent="0.3">
      <c r="A8" s="2" t="s">
        <v>2</v>
      </c>
      <c r="B8" s="5">
        <v>5.0999999999999996</v>
      </c>
    </row>
    <row r="9" spans="1:2" x14ac:dyDescent="0.3">
      <c r="A9" s="2" t="s">
        <v>4</v>
      </c>
      <c r="B9" s="5">
        <v>3</v>
      </c>
    </row>
    <row r="10" spans="1:2" x14ac:dyDescent="0.3">
      <c r="A10" s="2" t="s">
        <v>6</v>
      </c>
      <c r="B10" s="5">
        <v>2</v>
      </c>
    </row>
    <row r="11" spans="1:2" x14ac:dyDescent="0.3">
      <c r="A11" s="2" t="s">
        <v>8</v>
      </c>
      <c r="B11" s="5">
        <v>30.9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40D8-DE8B-4675-91D7-3D3251CA4C8C}">
  <dimension ref="Q2:Q24"/>
  <sheetViews>
    <sheetView showGridLines="0" tabSelected="1" workbookViewId="0">
      <selection activeCell="H16" sqref="H16"/>
    </sheetView>
  </sheetViews>
  <sheetFormatPr defaultRowHeight="14.4" x14ac:dyDescent="0.3"/>
  <cols>
    <col min="1" max="1" width="8.88671875" customWidth="1"/>
    <col min="16" max="16" width="8.88671875" customWidth="1"/>
    <col min="17" max="17" width="58.33203125" customWidth="1"/>
  </cols>
  <sheetData>
    <row r="2" spans="17:17" x14ac:dyDescent="0.3">
      <c r="Q2" s="4" t="s">
        <v>16</v>
      </c>
    </row>
    <row r="3" spans="17:17" ht="28.8" x14ac:dyDescent="0.3">
      <c r="Q3" s="3" t="s">
        <v>17</v>
      </c>
    </row>
    <row r="5" spans="17:17" x14ac:dyDescent="0.3">
      <c r="Q5" s="4" t="s">
        <v>18</v>
      </c>
    </row>
    <row r="6" spans="17:17" ht="43.2" x14ac:dyDescent="0.3">
      <c r="Q6" s="3" t="s">
        <v>19</v>
      </c>
    </row>
    <row r="8" spans="17:17" x14ac:dyDescent="0.3">
      <c r="Q8" s="4"/>
    </row>
    <row r="9" spans="17:17" x14ac:dyDescent="0.3">
      <c r="Q9" s="3"/>
    </row>
    <row r="11" spans="17:17" x14ac:dyDescent="0.3">
      <c r="Q11" s="4"/>
    </row>
    <row r="12" spans="17:17" x14ac:dyDescent="0.3">
      <c r="Q12" s="3"/>
    </row>
    <row r="18" spans="17:17" x14ac:dyDescent="0.3">
      <c r="Q18" s="4" t="s">
        <v>14</v>
      </c>
    </row>
    <row r="19" spans="17:17" ht="43.2" x14ac:dyDescent="0.3">
      <c r="Q19" s="3" t="s">
        <v>15</v>
      </c>
    </row>
    <row r="23" spans="17:17" x14ac:dyDescent="0.3">
      <c r="Q23" s="4" t="s">
        <v>20</v>
      </c>
    </row>
    <row r="24" spans="17:17" ht="28.8" x14ac:dyDescent="0.3">
      <c r="Q24" s="3" t="s">
        <v>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FFF9D1-911A-4D6F-BA97-4FFC10AC6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Cleaned Data</vt:lpstr>
      <vt:lpstr>Pivot Table 1 </vt:lpstr>
      <vt:lpstr>Pivot Table 2</vt:lpstr>
      <vt:lpstr>Pivot Table 3</vt:lpstr>
      <vt:lpstr>Pivot Table 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Wiltz</dc:creator>
  <cp:lastModifiedBy>Felicia Wiltz</cp:lastModifiedBy>
  <dcterms:created xsi:type="dcterms:W3CDTF">2026-03-23T18:52:02Z</dcterms:created>
  <dcterms:modified xsi:type="dcterms:W3CDTF">2026-03-24T20:56:46Z</dcterms:modified>
</cp:coreProperties>
</file>